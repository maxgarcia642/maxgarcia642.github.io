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Mid_2026_Refresh" sheetId="2" state="visible" r:id="rId4"/>
    <sheet name="Why_These_Cards" sheetId="3" state="visible" r:id="rId5"/>
    <sheet name="Master_Ranking" sheetId="4" state="visible" r:id="rId6"/>
    <sheet name="Pokemon" sheetId="5" state="visible" r:id="rId7"/>
    <sheet name="Magic" sheetId="6" state="visible" r:id="rId8"/>
    <sheet name="YuGiOh" sheetId="7" state="visible" r:id="rId9"/>
    <sheet name="OnePiece" sheetId="8" state="visible" r:id="rId10"/>
    <sheet name="Lorcana" sheetId="9" state="visible" r:id="rId11"/>
    <sheet name="FAB" sheetId="10" state="visible" r:id="rId12"/>
    <sheet name="Baseball" sheetId="11" state="visible" r:id="rId13"/>
    <sheet name="Basketball" sheetId="12" state="visible" r:id="rId14"/>
    <sheet name="Football" sheetId="13" state="visible" r:id="rId15"/>
    <sheet name="Soccer" sheetId="14" state="visible" r:id="rId16"/>
    <sheet name="DragonBall_Digimon" sheetId="15" state="visible" r:id="rId17"/>
    <sheet name="StarWars" sheetId="16" state="visible" r:id="rId18"/>
    <sheet name="FinalFantasy" sheetId="17" state="visible" r:id="rId19"/>
    <sheet name="Weiss_Union" sheetId="18" state="visible" r:id="rId20"/>
    <sheet name="MetaZoo_Warning" sheetId="19" state="visible" r:id="rId21"/>
    <sheet name="OpenClaw_Agent_Design" sheetId="20" state="visible" r:id="rId2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<sst xmlns="http://schemas.openxmlformats.org/spreadsheetml/2006/main" count="1509" uniqueCount="702">
  <si>
    <t xml:space="preserve">Max Garcia — Trading Card ROI Ranker 2026</t>
  </si>
  <si>
    <t xml:space="preserve">Medium-to-long hold thesis | Budget ceiling $200/card | Physical custody first</t>
  </si>
  <si>
    <t xml:space="preserve">Patience pays. 🦞</t>
  </si>
  <si>
    <t xml:space="preserve">Series</t>
  </si>
  <si>
    <t xml:space="preserve">Sheet</t>
  </si>
  <si>
    <t xml:space="preserve">Picks</t>
  </si>
  <si>
    <t xml:space="preserve">Avg Price ($)</t>
  </si>
  <si>
    <t xml:space="preserve">Allocation Weight</t>
  </si>
  <si>
    <t xml:space="preserve">Risk Tier</t>
  </si>
  <si>
    <t xml:space="preserve">Hold Horizon</t>
  </si>
  <si>
    <t xml:space="preserve">Notes</t>
  </si>
  <si>
    <t xml:space="preserve">Pokémon TCG</t>
  </si>
  <si>
    <t xml:space="preserve">Pokemon</t>
  </si>
  <si>
    <t xml:space="preserve">Core 30%</t>
  </si>
  <si>
    <t xml:space="preserve">Low-Mid</t>
  </si>
  <si>
    <t xml:space="preserve">2-7 yr</t>
  </si>
  <si>
    <t xml:space="preserve">Charizard/Eeveelutions/Pikachu are unkillable franchises</t>
  </si>
  <si>
    <t xml:space="preserve">Magic: The Gathering</t>
  </si>
  <si>
    <t xml:space="preserve">Magic</t>
  </si>
  <si>
    <t xml:space="preserve">Core 20%</t>
  </si>
  <si>
    <t xml:space="preserve">Low</t>
  </si>
  <si>
    <t xml:space="preserve">5-10 yr</t>
  </si>
  <si>
    <t xml:space="preserve">Reserved List = only true TCG store of value</t>
  </si>
  <si>
    <t xml:space="preserve">Yu-Gi-Oh!</t>
  </si>
  <si>
    <t xml:space="preserve">YuGiOh</t>
  </si>
  <si>
    <t xml:space="preserve">Satellite 8%</t>
  </si>
  <si>
    <t xml:space="preserve">Mid</t>
  </si>
  <si>
    <t xml:space="preserve">3-5 yr</t>
  </si>
  <si>
    <t xml:space="preserve">Banlist-driven; vintage LOB floor is durable</t>
  </si>
  <si>
    <t xml:space="preserve">One Piece TCG</t>
  </si>
  <si>
    <t xml:space="preserve">OnePiece</t>
  </si>
  <si>
    <t xml:space="preserve">Core 10%</t>
  </si>
  <si>
    <t xml:space="preserve">Mid-High</t>
  </si>
  <si>
    <t xml:space="preserve">2-4 yr</t>
  </si>
  <si>
    <t xml:space="preserve">JP/EN arbitrage persists; watch OP-14 Enel</t>
  </si>
  <si>
    <t xml:space="preserve">Disney Lorcana</t>
  </si>
  <si>
    <t xml:space="preserve">Lorcana</t>
  </si>
  <si>
    <t xml:space="preserve">3-6 yr</t>
  </si>
  <si>
    <t xml:space="preserve">Adult Disney collector base supports prices</t>
  </si>
  <si>
    <t xml:space="preserve">Flesh and Blood</t>
  </si>
  <si>
    <t xml:space="preserve">FAB</t>
  </si>
  <si>
    <t xml:space="preserve">Satellite 5%</t>
  </si>
  <si>
    <t xml:space="preserve">LSS print windows tight; competitive scene solid</t>
  </si>
  <si>
    <t xml:space="preserve">Baseball Cards</t>
  </si>
  <si>
    <t xml:space="preserve">Baseball</t>
  </si>
  <si>
    <t xml:space="preserve">3-8 yr</t>
  </si>
  <si>
    <t xml:space="preserve">Skenes/Holliday/Langford 2026 RCs underpriced</t>
  </si>
  <si>
    <t xml:space="preserve">Basketball Cards</t>
  </si>
  <si>
    <t xml:space="preserve">Basketball</t>
  </si>
  <si>
    <t xml:space="preserve">Wemby PSA 10 scarcity; Prizm rookies 2024-26</t>
  </si>
  <si>
    <t xml:space="preserve">Football Cards</t>
  </si>
  <si>
    <t xml:space="preserve">Football</t>
  </si>
  <si>
    <t xml:space="preserve">Satellite 3%</t>
  </si>
  <si>
    <t xml:space="preserve">3-7 yr</t>
  </si>
  <si>
    <t xml:space="preserve">Caleb Williams/Jayden Daniels 2024 RCs</t>
  </si>
  <si>
    <t xml:space="preserve">Soccer Cards</t>
  </si>
  <si>
    <t xml:space="preserve">Soccer</t>
  </si>
  <si>
    <t xml:space="preserve">Flyer 2%</t>
  </si>
  <si>
    <t xml:space="preserve">Yamal/Mbappe PSG-Madrid transition</t>
  </si>
  <si>
    <t xml:space="preserve">Dragon Ball / Digimon</t>
  </si>
  <si>
    <t xml:space="preserve">DragonBall_Digimon</t>
  </si>
  <si>
    <t xml:space="preserve">Flyer 1%</t>
  </si>
  <si>
    <t xml:space="preserve">High</t>
  </si>
  <si>
    <t xml:space="preserve">Fusion World 2024 relaunch; Digimon niche</t>
  </si>
  <si>
    <t xml:space="preserve">Star Wars Unlimited</t>
  </si>
  <si>
    <t xml:space="preserve">StarWars</t>
  </si>
  <si>
    <t xml:space="preserve">2-5 yr</t>
  </si>
  <si>
    <t xml:space="preserve">FFG track record; Asmodee backing</t>
  </si>
  <si>
    <t xml:space="preserve">Final Fantasy TCG</t>
  </si>
  <si>
    <t xml:space="preserve">FinalFantasy</t>
  </si>
  <si>
    <t xml:space="preserve">FF7 anniversary wave residual; thin market</t>
  </si>
  <si>
    <t xml:space="preserve">Weiss Schwarz / Union Arena</t>
  </si>
  <si>
    <t xml:space="preserve">Weiss_Union</t>
  </si>
  <si>
    <t xml:space="preserve">2-3 yr</t>
  </si>
  <si>
    <t xml:space="preserve">Anime IP volatile; position small</t>
  </si>
  <si>
    <t xml:space="preserve">MetaZoo (CAUTIONARY)</t>
  </si>
  <si>
    <t xml:space="preserve">MetaZoo_Warning</t>
  </si>
  <si>
    <t xml:space="preserve">AVOID</t>
  </si>
  <si>
    <t xml:space="preserve">Dead</t>
  </si>
  <si>
    <t xml:space="preserve">N/A</t>
  </si>
  <si>
    <t xml:space="preserve">Bankruptcy 2023 — included as negative case study</t>
  </si>
  <si>
    <t xml:space="preserve">Risk Tier Key</t>
  </si>
  <si>
    <t xml:space="preserve">Reserved List, vintage PSA-graded blue chips, established franchise floors</t>
  </si>
  <si>
    <t xml:space="preserve">Mainstream Pokémon chase with print-run closure, WOTC floor picks</t>
  </si>
  <si>
    <t xml:space="preserve">Post-hype modern cards with durable competitive or collector demand</t>
  </si>
  <si>
    <t xml:space="preserve">Active meta cards, JP-EN arbitrage plays, sports rookies pre-sophomore-slump</t>
  </si>
  <si>
    <t xml:space="preserve">Newer IP, thin markets, IP-dependent speculation</t>
  </si>
  <si>
    <t xml:space="preserve">Discontinued, liquidated, or structurally broken markets</t>
  </si>
  <si>
    <t xml:space="preserve">How to use this workbook</t>
  </si>
  <si>
    <t xml:space="preserve">Each sheet holds ranked card picks under $200. ROI% = ((Target Price - Current Price) / Current Price) × 100. Composite Score blends ROI potential, liquidity, reprint risk, and community demand on a 1-10 scale. Trend column reflects 12-month trajectory from PriceCharting, Card Ladder, and eBay sold filter checks as of April 2026. Update Current Price quarterly; formulas will recompute ROI and Composite Score automatically.</t>
  </si>
  <si>
    <t xml:space="preserve">ROI Ranker — Mid-2026 Refresh Notes</t>
  </si>
  <si>
    <t xml:space="preserve">Market refresh as of June 14, 2026. Read before acting on older rows.</t>
  </si>
  <si>
    <t xml:space="preserve">#</t>
  </si>
  <si>
    <t xml:space="preserve">Mid-2026 update</t>
  </si>
  <si>
    <t xml:space="preserve">GRADING SHOCK: PSA paused all four Value tiers effective June 2, 2026; global backlog hit ~14M cards (PSA targets a 5-6 month drawdown to 5M). Cheapest open PSA tier is Regular at $79.99/card. For raw modern cards under ~$300, route to CGC (open, ~60-100 day economy) or hold raw until PSA Value reopens. Only send to PSA Regular when the graded value clearly justifies $79.99. This changes the grading math on every undervalued-single play.</t>
  </si>
  <si>
    <t xml:space="preserve">Collectors Holdings (owner of PSA + SGC, pending Beckett/BGS acquisition) now approaches ~80% of grading volume — fewer independent relief valves when demand spikes. Factor platform concentration into grading-flip theses.</t>
  </si>
  <si>
    <t xml:space="preserve">POKEMON CORRECTION: Prismatic Evolutions (SV8.5) and 151 (SV3.5) were never sold as 36-pack booster boxes. Singles strategy is unaffected, but any 'sealed box ROI' you might have inferred for those sets is invalid — they are ETB / Booster Bundle / UPC products.</t>
  </si>
  <si>
    <t xml:space="preserve">The undervalued-single thesis still holds in mid-2026: market darlings (Moonbreon PSA 10, Charizard 1st Ed) remain efficiently priced, while many modern singles corrected 15-30% off 2025 peaks — widening the post-hype-cycle entry windows the ranker targets.</t>
  </si>
  <si>
    <t xml:space="preserve">Pikachu Illustrator reset the vintage ceiling at ~$16.49M (Goldin, Feb 2026). This lifts the entire WOTC-era nostalgia floor, including undergraded PSA 7-8 vintage — the ranker's first edge category.</t>
  </si>
  <si>
    <t xml:space="preserve">Japanese arbitrage windows remain open on Bandai products (Dragon Ball Fusion World, Digimon). Japan raised Pokemon pack MSRP in May 2026, slightly narrowing the Pokemon JP spread, but the 2-4 month JP-to-EN release lead is still the key early-access edge.</t>
  </si>
  <si>
    <t xml:space="preserve">Sports singles: the Fanatics consolidation (MLB/NBA/NFL, FIFA from 2031) makes 'first-and-last Panini' rookies (Travis Hunter, Shedeur Sanders) the speculative single play. FIFA World Cup 2026 results will move soccer singles fastest — watch a US deep run or a Lamine Yamal breakout.</t>
  </si>
  <si>
    <t xml:space="preserve">Why These Cards? — The Methodology Behind the Rankings</t>
  </si>
  <si>
    <t xml:space="preserve">Reading guide for anyone wondering why obvious chase cards (Moonbreon, Shadowless Charizard) are NOT on these rankings.</t>
  </si>
  <si>
    <t xml:space="preserve">The Core Thesis</t>
  </si>
  <si>
    <t xml:space="preserve">This workbook does not rank market-darling chase cards. It ranks UNDERVALUED cards where retail collectors with $200 budgets actually have an analytical edge. The Logan Paul-tier grails of the trading card market — Pikachu Illustrator ($5.275M), Honus Wagner T206 PSA 3 ($12.6M), Mickey Mantle 1952 Topps SGC 9.5 ($12.6M), Black Lotus Alpha BGS 10 (~$3M), 2003-04 Upper Deck Exquisite LeBron RPA /99 ($1.8-5.2M) — are efficiently priced. Every collector with a million dollars knows about them. Their pricing reflects every available piece of information about supply, demand, condition rarity, and cultural relevance. There is no edge for a $200 collector in chasing what hedge fund managers and celebrity collectors are also chasing.</t>
  </si>
  <si>
    <t xml:space="preserve">Where the edge actually lives, for a retail collector, is in three specific categories:</t>
  </si>
  <si>
    <t xml:space="preserve">Edge Category</t>
  </si>
  <si>
    <t xml:space="preserve">What it is</t>
  </si>
  <si>
    <t xml:space="preserve">Why retail has the edge</t>
  </si>
  <si>
    <t xml:space="preserve">Undervalued vintage</t>
  </si>
  <si>
    <t xml:space="preserve">Pre-2010 cards from Pokemon WOTC era, Magic Reserved List, Yu-Gi-Oh 1st Edition LOB-IOC, vintage sports HOF rookies that haven't been graded yet at scale. Often raw or low-population graded copies in PSA 7-8 range.</t>
  </si>
  <si>
    <t xml:space="preserve">Big collectors and auction houses focus on PSA 9-10 trophy copies. PSA 7-8 raw and graded copies from the same vintage era trade at 10-30% of the trophy-tier price but appreciate at similar percentages over multi-year horizons. The supply of WOTC-era sealed product is genuinely fixed; population growth in PSA 9-10 is increasingly slow as remaining pristine copies are already encapsulated.</t>
  </si>
  <si>
    <t xml:space="preserve">Post-hype-cycle modern alt arts</t>
  </si>
  <si>
    <t xml:space="preserve">Modern Pokemon Special Illustration Rares, Magic Showcase variants, and One Piece Alternate Art rares that spiked during a hype window then corrected 30-50% below their peak — often within 6-18 months of release.</t>
  </si>
  <si>
    <t xml:space="preserve">Hype-cycle tops are emotional; corrections to fundamental demand are fundamental. Cards that have demonstrated sustained organic demand AND have corrected meaningfully from peak prices are mathematically better entries than buying at the peak. The retail edge is in waiting patiently for the correction rather than chasing the hype.</t>
  </si>
  <si>
    <t xml:space="preserve">Overlooked Japanese parallels</t>
  </si>
  <si>
    <t xml:space="preserve">Japanese-print Pokemon, Yu-Gi-Oh OCG-only sets, Japanese-language Magic, Japanese first-print One Piece. Japanese cards are typically 30-60% cheaper than English equivalents at retail entry but appreciate at similar absolute rates over multi-year horizons.</t>
  </si>
  <si>
    <t xml:space="preserve">Most Western collectors don't track Japanese pricing because language and platform barriers (Buyee, Zenmarket, Yahoo Auctions Japan) make access friction-heavy. The retail edge is in doing the friction work that institutional buyers can't scale efficiently.</t>
  </si>
  <si>
    <t xml:space="preserve">Why obvious chase cards are NOT on these rankings</t>
  </si>
  <si>
    <t xml:space="preserve">Card / Product</t>
  </si>
  <si>
    <t xml:space="preserve">Why excluded</t>
  </si>
  <si>
    <t xml:space="preserve">Moonbreon (Umbreon VMAX Alt Art 215/203)</t>
  </si>
  <si>
    <t xml:space="preserve">PSA 10 trades $2,500-3,200 in April 2026 — already in the efficient-pricing tier. Anyone reading TCG news already knows this card. No retail edge.</t>
  </si>
  <si>
    <t xml:space="preserve">Charizard 1st Edition Shadowless PSA 10</t>
  </si>
  <si>
    <t xml:space="preserve">$420,000+ at Goldin in March 2022; private trades higher. Far above $200 budget; pricing reflects every available information on the card.</t>
  </si>
  <si>
    <t xml:space="preserve">Black Lotus Alpha (any condition)</t>
  </si>
  <si>
    <t xml:space="preserve">Even played-condition copies clear $50,000+. Trophy tier, not retail tier.</t>
  </si>
  <si>
    <t xml:space="preserve">LeBron 2003-04 Exquisite RPA /99</t>
  </si>
  <si>
    <t xml:space="preserve">$1.8-5.2M private sale range. Cultural icon territory, not retail edge.</t>
  </si>
  <si>
    <t xml:space="preserve">Pikachu Illustrator</t>
  </si>
  <si>
    <t xml:space="preserve">$5.275M Logan Paul purchase 2022. 39 confirmed copies. Trophy of trophies.</t>
  </si>
  <si>
    <t xml:space="preserve">Honus Wagner T206</t>
  </si>
  <si>
    <t xml:space="preserve">$7.25M PSA 2 (2022); $12.6M PSA 3 (2024). The most expensive baseball card. Not on this list because no $200 budget approaches this range.</t>
  </si>
  <si>
    <t xml:space="preserve">How to use the rankings</t>
  </si>
  <si>
    <t xml:space="preserve">The Master_Ranking sheet ranks cards by ROI percentage and absolute upside. The per-series sheets (Pokemon, MTG, OnePiece, etc.) drill down into category-specific picks. Each row carries a thesis statement: WHY this specific card has retail edge. Read the thesis before buying. If the thesis no longer holds — for example, if a Special Illustration Rare you targeted has now moved into the chase-tier ranges — the card comes off the list, not into your collection. Discipline is the entire game.</t>
  </si>
  <si>
    <t xml:space="preserve">Master Ranking — Top 25 Picks Across All Series</t>
  </si>
  <si>
    <t xml:space="preserve">Synthesized from all series sheets. Composite score × liquidity × (1 - reprint risk). Sorted descending.</t>
  </si>
  <si>
    <t xml:space="preserve">Rank</t>
  </si>
  <si>
    <t xml:space="preserve">Card</t>
  </si>
  <si>
    <t xml:space="preserve">Set / Year</t>
  </si>
  <si>
    <t xml:space="preserve">Current ($)</t>
  </si>
  <si>
    <t xml:space="preserve">Target ($)</t>
  </si>
  <si>
    <t xml:space="preserve">ROI %</t>
  </si>
  <si>
    <t xml:space="preserve">Composite</t>
  </si>
  <si>
    <t xml:space="preserve">Hold (yr)</t>
  </si>
  <si>
    <t xml:space="preserve">Revised Tundra</t>
  </si>
  <si>
    <t xml:space="preserve">MTG</t>
  </si>
  <si>
    <t xml:space="preserve">Revised (1994)</t>
  </si>
  <si>
    <t xml:space="preserve">Revised Bayou</t>
  </si>
  <si>
    <t xml:space="preserve">Rayquaza VMAX Alt Art</t>
  </si>
  <si>
    <t xml:space="preserve">Evolving Skies (2021)</t>
  </si>
  <si>
    <t xml:space="preserve">Charizard ex SIR #199</t>
  </si>
  <si>
    <t xml:space="preserve">Pokemon 151 (2023)</t>
  </si>
  <si>
    <t xml:space="preserve">Revised Tropical Island</t>
  </si>
  <si>
    <t xml:space="preserve">Giratina V Alt Art</t>
  </si>
  <si>
    <t xml:space="preserve">Lost Origin (2022)</t>
  </si>
  <si>
    <t xml:space="preserve">Mew VMAX Alt Art</t>
  </si>
  <si>
    <t xml:space="preserve">Fusion Strike (2021)</t>
  </si>
  <si>
    <t xml:space="preserve">Wembanyama Prizm RC</t>
  </si>
  <si>
    <t xml:space="preserve">2023-24 Prizm</t>
  </si>
  <si>
    <t xml:space="preserve">Paul Skenes Bowman 1st Auto</t>
  </si>
  <si>
    <t xml:space="preserve">2023 Bowman Draft</t>
  </si>
  <si>
    <t xml:space="preserve">Fyendal's Spring Tunic CF</t>
  </si>
  <si>
    <t xml:space="preserve">Welcome to Rathe (2020)</t>
  </si>
  <si>
    <t xml:space="preserve">Blue-Eyes White Dragon 1st Ed</t>
  </si>
  <si>
    <t xml:space="preserve">LOB (2002)</t>
  </si>
  <si>
    <t xml:space="preserve">Ash Blossom QCSR</t>
  </si>
  <si>
    <t xml:space="preserve">25th Anniv Stampede (2023)</t>
  </si>
  <si>
    <t xml:space="preserve">Revised Taiga</t>
  </si>
  <si>
    <t xml:space="preserve">Dracule Mihawk Alt Art</t>
  </si>
  <si>
    <t xml:space="preserve">OP-06 Wings of Captain (2024)</t>
  </si>
  <si>
    <t xml:space="preserve">Boa Hancock Alt Art</t>
  </si>
  <si>
    <t xml:space="preserve">OP-03 Pillars of Strength (2023)</t>
  </si>
  <si>
    <t xml:space="preserve">Elsa, Spirit of Winter</t>
  </si>
  <si>
    <t xml:space="preserve">Into the Inklands (2024)</t>
  </si>
  <si>
    <t xml:space="preserve">Mickey Mouse Playful Sorcerer</t>
  </si>
  <si>
    <t xml:space="preserve">The First Chapter (2023)</t>
  </si>
  <si>
    <t xml:space="preserve">Jackson Holliday Bowman 1st</t>
  </si>
  <si>
    <t xml:space="preserve">2022 Bowman Chrome</t>
  </si>
  <si>
    <t xml:space="preserve">1st Ed Lugia #9</t>
  </si>
  <si>
    <t xml:space="preserve">Neo Genesis (2000)</t>
  </si>
  <si>
    <t xml:space="preserve">Mox Diamond</t>
  </si>
  <si>
    <t xml:space="preserve">Stronghold (1998)</t>
  </si>
  <si>
    <t xml:space="preserve">Lamine Yamal Topps Chrome RC</t>
  </si>
  <si>
    <t xml:space="preserve">2023-24 Topps Chrome UCL</t>
  </si>
  <si>
    <t xml:space="preserve">Sylveon VMAX Alt Art</t>
  </si>
  <si>
    <t xml:space="preserve">Shanks Parallel (JPN)</t>
  </si>
  <si>
    <t xml:space="preserve">OP-01 Romance Dawn (2022)</t>
  </si>
  <si>
    <t xml:space="preserve">Caleb Williams Prizm RC</t>
  </si>
  <si>
    <t xml:space="preserve">2024 Prizm</t>
  </si>
  <si>
    <t xml:space="preserve">Crown of Providence CF</t>
  </si>
  <si>
    <t xml:space="preserve">Crucible of War (2021)</t>
  </si>
  <si>
    <t xml:space="preserve">Portfolio Totals</t>
  </si>
  <si>
    <t xml:space="preserve">Pokémon TCG — Top 15 ROI Picks Under $200</t>
  </si>
  <si>
    <t xml:space="preserve">Mix of WOTC vintage floors, post-hype modern chase, JP-EN arbitrage. Core 30% allocation.</t>
  </si>
  <si>
    <t xml:space="preserve">Card Name</t>
  </si>
  <si>
    <t xml:space="preserve">Rarity / Variant</t>
  </si>
  <si>
    <t xml:space="preserve">Condition</t>
  </si>
  <si>
    <t xml:space="preserve">Current Price ($)</t>
  </si>
  <si>
    <t xml:space="preserve">Target Price ($)</t>
  </si>
  <si>
    <t xml:space="preserve">Reprint Risk</t>
  </si>
  <si>
    <t xml:space="preserve">12mo Trend</t>
  </si>
  <si>
    <t xml:space="preserve">Liquidity</t>
  </si>
  <si>
    <t xml:space="preserve">Composite Score</t>
  </si>
  <si>
    <t xml:space="preserve">Buy Venue</t>
  </si>
  <si>
    <t xml:space="preserve">Thesis</t>
  </si>
  <si>
    <t xml:space="preserve">Secret Rare Alt Art</t>
  </si>
  <si>
    <t xml:space="preserve">Raw NM</t>
  </si>
  <si>
    <t xml:space="preserve">Low (out of print)</t>
  </si>
  <si>
    <t xml:space="preserve">Flat-Up</t>
  </si>
  <si>
    <t xml:space="preserve">TCGPlayer, eBay BIN</t>
  </si>
  <si>
    <t xml:space="preserve">Best Moonbreon-adjacent play; set retirement tightens supply; 42% PSA 10 rate per GemRate</t>
  </si>
  <si>
    <t xml:space="preserve">Special Illustration Rare</t>
  </si>
  <si>
    <t xml:space="preserve">Medium (151 UPC 2025 reprint)</t>
  </si>
  <si>
    <t xml:space="preserve">Flat</t>
  </si>
  <si>
    <t xml:space="preserve">TCGPlayer, Whatnot</t>
  </si>
  <si>
    <t xml:space="preserve">Cleanest modern Charizard near MSRP-adjacent; nostalgia lock</t>
  </si>
  <si>
    <t xml:space="preserve">Giratina V Alt Art #186</t>
  </si>
  <si>
    <t xml:space="preserve">Alt Art Full Art</t>
  </si>
  <si>
    <t xml:space="preserve">Up</t>
  </si>
  <si>
    <t xml:space="preserve">TCGPlayer, eBay</t>
  </si>
  <si>
    <t xml:space="preserve">Most-played Alt Art by competitive crowd; playability tightens supply</t>
  </si>
  <si>
    <t xml:space="preserve">Mew VMAX Alt Art #268</t>
  </si>
  <si>
    <t xml:space="preserve">eBay, PWCC</t>
  </si>
  <si>
    <t xml:space="preserve">2022 hype card now realistic; Mew franchise nostalgia</t>
  </si>
  <si>
    <t xml:space="preserve">Holo Rare 1st Edition</t>
  </si>
  <si>
    <t xml:space="preserve">Zero (WOTC)</t>
  </si>
  <si>
    <t xml:space="preserve">eBay auctions, PWCC</t>
  </si>
  <si>
    <t xml:space="preserve">Gen II Legends remake catalyst; WOTC holo floor</t>
  </si>
  <si>
    <t xml:space="preserve">Blastoise ex SIR #200</t>
  </si>
  <si>
    <t xml:space="preserve">Starter bookend to Charizard ex SIR; paired set dynamics</t>
  </si>
  <si>
    <t xml:space="preserve">Crystal Kabutops</t>
  </si>
  <si>
    <t xml:space="preserve">Skyridge (2003)</t>
  </si>
  <si>
    <t xml:space="preserve">Crystal Holo</t>
  </si>
  <si>
    <t xml:space="preserve">Last underpriced Crystal type; vintage WOTC corner</t>
  </si>
  <si>
    <t xml:space="preserve">Shiny Charizard V SAR (JPN)</t>
  </si>
  <si>
    <t xml:space="preserve">VSTAR Universe s12a (2022)</t>
  </si>
  <si>
    <t xml:space="preserve">Shiny SAR</t>
  </si>
  <si>
    <t xml:space="preserve">TCGRepublic, Buyee</t>
  </si>
  <si>
    <t xml:space="preserve">JP-to-EN arbitrage; 25-30% premium on grade-and-flip</t>
  </si>
  <si>
    <t xml:space="preserve">Alakazam ex SAR</t>
  </si>
  <si>
    <t xml:space="preserve">Pokemon Card 151 sv2a (JPN, 2023)</t>
  </si>
  <si>
    <t xml:space="preserve">Special Art Rare</t>
  </si>
  <si>
    <t xml:space="preserve">Medium</t>
  </si>
  <si>
    <t xml:space="preserve">TCGRepublic, eBay</t>
  </si>
  <si>
    <t xml:space="preserve">JP print quality superior to English; grading halo</t>
  </si>
  <si>
    <t xml:space="preserve">Giratina VSTAR UR</t>
  </si>
  <si>
    <t xml:space="preserve">VSTAR Universe s12a (JPN, 2022)</t>
  </si>
  <si>
    <t xml:space="preserve">Ultra Rare</t>
  </si>
  <si>
    <t xml:space="preserve">JP cousin to Lost Origin Alt Art at third the price</t>
  </si>
  <si>
    <t xml:space="preserve">Terastal Festival Charizard ex SAR</t>
  </si>
  <si>
    <t xml:space="preserve">Terastal Festival sv8a (JPN, 2024)</t>
  </si>
  <si>
    <t xml:space="preserve">Newest JP Charizard SAR; long runway</t>
  </si>
  <si>
    <t xml:space="preserve">Shadowless Charizard</t>
  </si>
  <si>
    <t xml:space="preserve">Base Set (1999)</t>
  </si>
  <si>
    <t xml:space="preserve">Holo Rare Shadowless</t>
  </si>
  <si>
    <t xml:space="preserve">PSA 4 (MP)</t>
  </si>
  <si>
    <t xml:space="preserve">Entry-point Shadowless Char; played grade, long hold</t>
  </si>
  <si>
    <t xml:space="preserve">Evolving Skies Eeveelution triplet with Espeon/Glaceon demand</t>
  </si>
  <si>
    <t xml:space="preserve">1st Ed Machoke</t>
  </si>
  <si>
    <t xml:space="preserve">Uncommon 1st Edition</t>
  </si>
  <si>
    <t xml:space="preserve">PSA 9</t>
  </si>
  <si>
    <t xml:space="preserve">eBay auctions</t>
  </si>
  <si>
    <t xml:space="preserve">Last arbitrage corner of WOTC; PSA 9 vintage commons</t>
  </si>
  <si>
    <t xml:space="preserve">Umbreon GX Rainbow Rare</t>
  </si>
  <si>
    <t xml:space="preserve">Sun &amp; Moon Burning Shadows (2017)</t>
  </si>
  <si>
    <t xml:space="preserve">Secret Rainbow Rare</t>
  </si>
  <si>
    <t xml:space="preserve">TCGPlayer</t>
  </si>
  <si>
    <t xml:space="preserve">Eeveelution demand + Sun/Moon nostalgia cycle starting</t>
  </si>
  <si>
    <t xml:space="preserve">Averages / Totals</t>
  </si>
  <si>
    <t xml:space="preserve">Magic: The Gathering — Top 12 ROI Picks Under $200</t>
  </si>
  <si>
    <t xml:space="preserve">Reserved List dominates; judge foils and MH2 retro frame as modern wedges. Core 20% allocation.</t>
  </si>
  <si>
    <t xml:space="preserve">Revised Edition (1994)</t>
  </si>
  <si>
    <t xml:space="preserve">Dual Land - Reserved List</t>
  </si>
  <si>
    <t xml:space="preserve">MP</t>
  </si>
  <si>
    <t xml:space="preserve">ZERO (Reserved List)</t>
  </si>
  <si>
    <t xml:space="preserve">eBay, Card Kingdom</t>
  </si>
  <si>
    <t xml:space="preserve">Only true TCG store of value; legally un-reprintable</t>
  </si>
  <si>
    <t xml:space="preserve">HP</t>
  </si>
  <si>
    <t xml:space="preserve">eBay, Star City</t>
  </si>
  <si>
    <t xml:space="preserve">Golgari demand from Commander; lowest-risk TCG asset</t>
  </si>
  <si>
    <t xml:space="preserve">Simic demand; slab at PSA 8 for 2x premium</t>
  </si>
  <si>
    <t xml:space="preserve">eBay, TCGPlayer</t>
  </si>
  <si>
    <t xml:space="preserve">Gruul/Boros demand; cheapest Revised dual entry</t>
  </si>
  <si>
    <t xml:space="preserve">Rare - Reserved List</t>
  </si>
  <si>
    <t xml:space="preserve">LP</t>
  </si>
  <si>
    <t xml:space="preserve">Commander-ban compression; long-term staple</t>
  </si>
  <si>
    <t xml:space="preserve">Mana Drain</t>
  </si>
  <si>
    <t xml:space="preserve">Legends (1994)</t>
  </si>
  <si>
    <t xml:space="preserve">Uncommon - Reserved List</t>
  </si>
  <si>
    <t xml:space="preserve">Competitive Commander staple; Legends scarcity</t>
  </si>
  <si>
    <t xml:space="preserve">Nether Void</t>
  </si>
  <si>
    <t xml:space="preserve">Niche but fixed supply Legends rare</t>
  </si>
  <si>
    <t xml:space="preserve">Judge Foil Wasteland</t>
  </si>
  <si>
    <t xml:space="preserve">Judge Promo</t>
  </si>
  <si>
    <t xml:space="preserve">Judge Foil Promo</t>
  </si>
  <si>
    <t xml:space="preserve">NM</t>
  </si>
  <si>
    <t xml:space="preserve">eBay, ChannelFireball</t>
  </si>
  <si>
    <t xml:space="preserve">Eternal format staple; judge promo scarcity halo</t>
  </si>
  <si>
    <t xml:space="preserve">Judge Foil Polluted Delta</t>
  </si>
  <si>
    <t xml:space="preserve">Fetchland forever-demand; foil premium</t>
  </si>
  <si>
    <t xml:space="preserve">Retro Ragavan, Nimble Pilferer</t>
  </si>
  <si>
    <t xml:space="preserve">Modern Horizons 2 (2021)</t>
  </si>
  <si>
    <t xml:space="preserve">Retro Frame Foil Mythic</t>
  </si>
  <si>
    <t xml:space="preserve">Low (MH2 retro slot)</t>
  </si>
  <si>
    <t xml:space="preserve">TCGPlayer, Card Kingdom</t>
  </si>
  <si>
    <t xml:space="preserve">Retro frame foil of Modern staple; set out of print</t>
  </si>
  <si>
    <t xml:space="preserve">Secret Lair: Seb McKinnon</t>
  </si>
  <si>
    <t xml:space="preserve">Secret Lair Drop</t>
  </si>
  <si>
    <t xml:space="preserve">Alt Art Drop</t>
  </si>
  <si>
    <t xml:space="preserve">Zero (print window closed)</t>
  </si>
  <si>
    <t xml:space="preserve">Artist-series cult following; MTG alt art undervalued</t>
  </si>
  <si>
    <t xml:space="preserve">Judge Foil Force of Will</t>
  </si>
  <si>
    <t xml:space="preserve">Cube/Legacy staple; judge program halo</t>
  </si>
  <si>
    <t xml:space="preserve">Yu-Gi-Oh! — Top 10 ROI Picks Under $200</t>
  </si>
  <si>
    <t xml:space="preserve">Banlist-driven market. Vintage LOB floor + 25th Anniv QCSRs. Satellite 8% allocation.</t>
  </si>
  <si>
    <t xml:space="preserve">Ultra Rare 1st Edition</t>
  </si>
  <si>
    <t xml:space="preserve">PSA 7</t>
  </si>
  <si>
    <t xml:space="preserve">Medium (reprints ongoing)</t>
  </si>
  <si>
    <t xml:space="preserve">YuGiOh's Wagner; every new collector wants one</t>
  </si>
  <si>
    <t xml:space="preserve">25th Anniversary Stampede (2023)</t>
  </si>
  <si>
    <t xml:space="preserve">Quarter Century Secret Rare</t>
  </si>
  <si>
    <t xml:space="preserve">NM Raw</t>
  </si>
  <si>
    <t xml:space="preserve">Low (QCSR fixed print)</t>
  </si>
  <si>
    <t xml:space="preserve">TCGPlayer, Troll and Toad</t>
  </si>
  <si>
    <t xml:space="preserve">Most-played hand trap; QCSR supply capped</t>
  </si>
  <si>
    <t xml:space="preserve">Summoned Skull 1st Ed</t>
  </si>
  <si>
    <t xml:space="preserve">LOB core staple; played in nostalgia decks</t>
  </si>
  <si>
    <t xml:space="preserve">Maxx "C" QCSR</t>
  </si>
  <si>
    <t xml:space="preserve">OCG-legal collector demand despite TCG ban</t>
  </si>
  <si>
    <t xml:space="preserve">Right Leg of Forbidden One 1st Ed</t>
  </si>
  <si>
    <t xml:space="preserve">Exodia piece; grades well; 1st Ed scarcity</t>
  </si>
  <si>
    <t xml:space="preserve">Ghost Rare Stardust Dragon</t>
  </si>
  <si>
    <t xml:space="preserve">Crossroads of Chaos (2008)</t>
  </si>
  <si>
    <t xml:space="preserve">Ghost Rare</t>
  </si>
  <si>
    <t xml:space="preserve">LP Raw</t>
  </si>
  <si>
    <t xml:space="preserve">Low (OOP)</t>
  </si>
  <si>
    <t xml:space="preserve">Ghost Rare nostalgia + 5D's fanbase</t>
  </si>
  <si>
    <t xml:space="preserve">Gaia the Fierce Knight 1st Ed</t>
  </si>
  <si>
    <t xml:space="preserve">Yugi's signature monster; undervalued LOB piece</t>
  </si>
  <si>
    <t xml:space="preserve">Cyber-Stein SJCS promo</t>
  </si>
  <si>
    <t xml:space="preserve">SJCS-EN001 (2005)</t>
  </si>
  <si>
    <t xml:space="preserve">Shonen Jump Championship Promo</t>
  </si>
  <si>
    <t xml:space="preserve">HP Raw</t>
  </si>
  <si>
    <t xml:space="preserve">Zero (out of print)</t>
  </si>
  <si>
    <t xml:space="preserve">SJCS promo scarcity; tournament history</t>
  </si>
  <si>
    <t xml:space="preserve">Ash Blossom Prismatic Secret</t>
  </si>
  <si>
    <t xml:space="preserve">Maximum Gold (2020)</t>
  </si>
  <si>
    <t xml:space="preserve">Prismatic Secret Rare</t>
  </si>
  <si>
    <t xml:space="preserve">Meta staple, Prismatic finish premium</t>
  </si>
  <si>
    <t xml:space="preserve">Dark Magician Girl 25th Anniv</t>
  </si>
  <si>
    <t xml:space="preserve">Quarter Century Rarity Collection (2024)</t>
  </si>
  <si>
    <t xml:space="preserve">Iconic anime character; 25th anniversary collectible halo</t>
  </si>
  <si>
    <t xml:space="preserve">One Piece TCG — Top 10 ROI Picks Under $200</t>
  </si>
  <si>
    <t xml:space="preserve">Bandai print runs have eased but alt arts remain scarce. Core 10% allocation.</t>
  </si>
  <si>
    <t xml:space="preserve">OP-06 Wings of the Captain (2024)</t>
  </si>
  <si>
    <t xml:space="preserve">Super Rare Alt Art</t>
  </si>
  <si>
    <t xml:space="preserve">Most iconic swordsman; alt art scarcity</t>
  </si>
  <si>
    <t xml:space="preserve">Waifu premium + competitive Leader support</t>
  </si>
  <si>
    <t xml:space="preserve">Secret Rare Parallel</t>
  </si>
  <si>
    <t xml:space="preserve">Zero (OOP)</t>
  </si>
  <si>
    <t xml:space="preserve">Buyee, eBay</t>
  </si>
  <si>
    <t xml:space="preserve">First-set Shanks SEC; nostalgia anchor</t>
  </si>
  <si>
    <t xml:space="preserve">Monkey D. Luffy Leader Parallel</t>
  </si>
  <si>
    <t xml:space="preserve">Leader Parallel</t>
  </si>
  <si>
    <t xml:space="preserve">MC Leader card; competitive viability</t>
  </si>
  <si>
    <t xml:space="preserve">Uta SP (JPN)</t>
  </si>
  <si>
    <t xml:space="preserve">Extra Booster Memorial (2023)</t>
  </si>
  <si>
    <t xml:space="preserve">Special Parallel</t>
  </si>
  <si>
    <t xml:space="preserve">Buyee, Zenmarket</t>
  </si>
  <si>
    <t xml:space="preserve">Film Red tie-in; Japanese extra booster scarcity</t>
  </si>
  <si>
    <t xml:space="preserve">Portgas D. Ace Alt Art</t>
  </si>
  <si>
    <t xml:space="preserve">OP-02 Paramount War (2023)</t>
  </si>
  <si>
    <t xml:space="preserve">Dead-character premium; emotional arc payoff</t>
  </si>
  <si>
    <t xml:space="preserve">Trafalgar Law Alt Art</t>
  </si>
  <si>
    <t xml:space="preserve">Fan-favorite; competitive Leader variants drive demand</t>
  </si>
  <si>
    <t xml:space="preserve">Nico Robin Alt Art</t>
  </si>
  <si>
    <t xml:space="preserve">OP-05 Awakening of a New Era (2024)</t>
  </si>
  <si>
    <t xml:space="preserve">Strawhat female lead; alt art rarity</t>
  </si>
  <si>
    <t xml:space="preserve">Eustass Kid Leader Alt Art</t>
  </si>
  <si>
    <t xml:space="preserve">OP-04 Kingdoms of Intrigue (2024)</t>
  </si>
  <si>
    <t xml:space="preserve">Leader Alt Art</t>
  </si>
  <si>
    <t xml:space="preserve">Worst Generation pirate demand; competitive Leader</t>
  </si>
  <si>
    <t xml:space="preserve">Yamato Alt Art</t>
  </si>
  <si>
    <t xml:space="preserve">Wano arc fan favorite; newer character premium</t>
  </si>
  <si>
    <t xml:space="preserve">Disney Lorcana — Top 8 ROI Picks Under $200</t>
  </si>
  <si>
    <t xml:space="preserve">Ravensburger Enchanteds are hit ratio roughly 1:3000. Adult Disney collector base. Satellite 8%.</t>
  </si>
  <si>
    <t xml:space="preserve">Enchanted Rare</t>
  </si>
  <si>
    <t xml:space="preserve">Low (Enchanted fixed print)</t>
  </si>
  <si>
    <t xml:space="preserve">Frozen IP durability + Enchanted print ratio</t>
  </si>
  <si>
    <t xml:space="preserve">Mickey Mouse, Playful Sorcerer</t>
  </si>
  <si>
    <t xml:space="preserve">Low (first-set halo)</t>
  </si>
  <si>
    <t xml:space="preserve">Flagship mascot + Chapter 1 nostalgia anchor</t>
  </si>
  <si>
    <t xml:space="preserve">Lumiere's Ghost</t>
  </si>
  <si>
    <t xml:space="preserve">Rise of the Floodborn (2023)</t>
  </si>
  <si>
    <t xml:space="preserve">Beauty and Beast IP + Ghost variant demand</t>
  </si>
  <si>
    <t xml:space="preserve">Stitch, Rock Star</t>
  </si>
  <si>
    <t xml:space="preserve">Lilo &amp; Stitch global fanbase; streaming resurgence</t>
  </si>
  <si>
    <t xml:space="preserve">Maleficent, Monstrous Dragon</t>
  </si>
  <si>
    <t xml:space="preserve">Azurite Sea (2024)</t>
  </si>
  <si>
    <t xml:space="preserve">Signature Disney villain + dragon form iconic</t>
  </si>
  <si>
    <t xml:space="preserve">Ariel, Spectacular Singer</t>
  </si>
  <si>
    <t xml:space="preserve">Ursula's Return (2024)</t>
  </si>
  <si>
    <t xml:space="preserve">Little Mermaid nostalgia; live-action film residual</t>
  </si>
  <si>
    <t xml:space="preserve">Gaston, Intellectual Powerhouse</t>
  </si>
  <si>
    <t xml:space="preserve">Villain demand + meme potential</t>
  </si>
  <si>
    <t xml:space="preserve">Pete, Rotten Guy</t>
  </si>
  <si>
    <t xml:space="preserve">Shimmering Skies (2024)</t>
  </si>
  <si>
    <t xml:space="preserve">Classic Mickey-verse villain; underrated</t>
  </si>
  <si>
    <t xml:space="preserve">Flesh and Blood — Top 8 ROI Picks Under $200</t>
  </si>
  <si>
    <t xml:space="preserve">LSS enforces tight print windows. Cold Foil Legendaries are the asset class. Satellite 5%.</t>
  </si>
  <si>
    <t xml:space="preserve">Welcome to Rathe Unlimited (2020)</t>
  </si>
  <si>
    <t xml:space="preserve">Cold Foil Legendary</t>
  </si>
  <si>
    <t xml:space="preserve">TCGPlayer, LSS direct</t>
  </si>
  <si>
    <t xml:space="preserve">Every competitive deck wants one; CF scarcity</t>
  </si>
  <si>
    <t xml:space="preserve">Crucible of War Unlimited (2021)</t>
  </si>
  <si>
    <t xml:space="preserve">Hero equipment staple; print window closed</t>
  </si>
  <si>
    <t xml:space="preserve">Command and Conquer CF</t>
  </si>
  <si>
    <t xml:space="preserve">Crucible of War 1st Edition (2020)</t>
  </si>
  <si>
    <t xml:space="preserve">1st Ed premium + competitive warrior card</t>
  </si>
  <si>
    <t xml:space="preserve">Ser Boltyn, Breaker of Dawn CF</t>
  </si>
  <si>
    <t xml:space="preserve">Monarch (2021)</t>
  </si>
  <si>
    <t xml:space="preserve">Hero card demand; Monarch set nostalgia</t>
  </si>
  <si>
    <t xml:space="preserve">Heart of Fyendal</t>
  </si>
  <si>
    <t xml:space="preserve">Equipment staple across multiple heroes</t>
  </si>
  <si>
    <t xml:space="preserve">Prism, Sculptor of Arc Light CF</t>
  </si>
  <si>
    <t xml:space="preserve">Illusionist hero; cross-class playability</t>
  </si>
  <si>
    <t xml:space="preserve">Blood Tribute CF</t>
  </si>
  <si>
    <t xml:space="preserve">Part the Mistveil (2023)</t>
  </si>
  <si>
    <t xml:space="preserve">Cold Foil Majestic</t>
  </si>
  <si>
    <t xml:space="preserve">Vampire hero playable + CF art premium</t>
  </si>
  <si>
    <t xml:space="preserve">Azalea, Ace in the Hole</t>
  </si>
  <si>
    <t xml:space="preserve">Outsiders (2023)</t>
  </si>
  <si>
    <t xml:space="preserve">Majestic</t>
  </si>
  <si>
    <t xml:space="preserve">Ranger hero card; stable Blitz demand</t>
  </si>
  <si>
    <t xml:space="preserve">Baseball Cards — Top 10 ROI Picks Under $200</t>
  </si>
  <si>
    <t xml:space="preserve">2023-24 prospect class + vintage HOF refractors. Satellite 8% allocation.</t>
  </si>
  <si>
    <t xml:space="preserve">Paul Skenes Bowman Chrome 1st Auto</t>
  </si>
  <si>
    <t xml:space="preserve">2023 Bowman Draft Chrome</t>
  </si>
  <si>
    <t xml:space="preserve">1st Bowman Chrome Auto</t>
  </si>
  <si>
    <t xml:space="preserve">PSA 10</t>
  </si>
  <si>
    <t xml:space="preserve">eBay, Fanatics Collect</t>
  </si>
  <si>
    <t xml:space="preserve">Cy Young frontrunner; rookie-year auto scarcity</t>
  </si>
  <si>
    <t xml:space="preserve">Jackson Holliday Bowman Chrome 1st</t>
  </si>
  <si>
    <t xml:space="preserve">1st Bowman Chrome Refractor</t>
  </si>
  <si>
    <t xml:space="preserve">Generational SS prospect; 2024 debut residual</t>
  </si>
  <si>
    <t xml:space="preserve">Wyatt Langford Bowman Chrome 1st Auto</t>
  </si>
  <si>
    <t xml:space="preserve">Rangers OF power; 2026 breakout candidate</t>
  </si>
  <si>
    <t xml:space="preserve">Jackson Chourio Bowman Chrome 1st</t>
  </si>
  <si>
    <t xml:space="preserve">1st Chrome Refractor</t>
  </si>
  <si>
    <t xml:space="preserve">Brewers OF; long-term extension locks long hold</t>
  </si>
  <si>
    <t xml:space="preserve">Ronald Acuña Jr. Rookie</t>
  </si>
  <si>
    <t xml:space="preserve">2018 Topps Chrome Update Refractor</t>
  </si>
  <si>
    <t xml:space="preserve">Rookie Refractor</t>
  </si>
  <si>
    <t xml:space="preserve">MVP + HOF trajectory; refractor pop ratio favorable</t>
  </si>
  <si>
    <t xml:space="preserve">Juan Soto Bowman Chrome 1st</t>
  </si>
  <si>
    <t xml:space="preserve">2016 Bowman Chrome Auto</t>
  </si>
  <si>
    <t xml:space="preserve">1st Bowman Chrome</t>
  </si>
  <si>
    <t xml:space="preserve">PSA 10 (no auto)</t>
  </si>
  <si>
    <t xml:space="preserve">Mets megadeal catalyst; long-hold HOF lock</t>
  </si>
  <si>
    <t xml:space="preserve">1989 Upper Deck Griffey Jr. Rookie</t>
  </si>
  <si>
    <t xml:space="preserve">1989 Upper Deck #1</t>
  </si>
  <si>
    <t xml:space="preserve">Rookie</t>
  </si>
  <si>
    <t xml:space="preserve">HOF locked; Upper Deck flagship #1; durable nostalgia</t>
  </si>
  <si>
    <t xml:space="preserve">Pete Crow-Armstrong Bowman 1st</t>
  </si>
  <si>
    <t xml:space="preserve">2022 Bowman Draft Chrome</t>
  </si>
  <si>
    <t xml:space="preserve">1st Chrome Auto</t>
  </si>
  <si>
    <t xml:space="preserve">Gold Glove CF + 2024 Rookie impact</t>
  </si>
  <si>
    <t xml:space="preserve">Elly De La Cruz Bowman Chrome</t>
  </si>
  <si>
    <t xml:space="preserve">Chrome Refractor</t>
  </si>
  <si>
    <t xml:space="preserve">Reds SS upside + tools profile</t>
  </si>
  <si>
    <t xml:space="preserve">Corbin Carroll Bowman Chrome 1st</t>
  </si>
  <si>
    <t xml:space="preserve">2020 Bowman Chrome</t>
  </si>
  <si>
    <t xml:space="preserve">2023 RoY + D-Backs face-of-franchise</t>
  </si>
  <si>
    <t xml:space="preserve">Basketball Cards — Top 8 ROI Picks Under $200</t>
  </si>
  <si>
    <t xml:space="preserve">Wemby-anchored with established-star Silver Prizms as ballast. Satellite 5%.</t>
  </si>
  <si>
    <t xml:space="preserve">Victor Wembanyama Prizm RC</t>
  </si>
  <si>
    <t xml:space="preserve">2023-24 Prizm #136</t>
  </si>
  <si>
    <t xml:space="preserve">Base Rookie</t>
  </si>
  <si>
    <t xml:space="preserve">Generational talent; 2024 DPOY; PSA 10 pop tight</t>
  </si>
  <si>
    <t xml:space="preserve">Wembanyama Hoops RC</t>
  </si>
  <si>
    <t xml:space="preserve">2023-24 NBA Hoops</t>
  </si>
  <si>
    <t xml:space="preserve">Budget Wemby entry; grade-before-pop-closes thesis</t>
  </si>
  <si>
    <t xml:space="preserve">Luka Dončić Donruss Optic RC</t>
  </si>
  <si>
    <t xml:space="preserve">2018-19 Donruss Optic</t>
  </si>
  <si>
    <t xml:space="preserve">Generational player; HOF trajectory locked</t>
  </si>
  <si>
    <t xml:space="preserve">Chet Holmgren Prizm RC</t>
  </si>
  <si>
    <t xml:space="preserve">2022-23 Prizm</t>
  </si>
  <si>
    <t xml:space="preserve">Thunder core + shot-blocking profile</t>
  </si>
  <si>
    <t xml:space="preserve">Paolo Banchero Prizm RC</t>
  </si>
  <si>
    <t xml:space="preserve">2023 RoY + Magic franchise face</t>
  </si>
  <si>
    <t xml:space="preserve">Scottie Barnes Prizm Silver RC</t>
  </si>
  <si>
    <t xml:space="preserve">2021-22 Prizm</t>
  </si>
  <si>
    <t xml:space="preserve">Silver Prizm Rookie</t>
  </si>
  <si>
    <t xml:space="preserve">All-Star upside; Silver Prizm premium</t>
  </si>
  <si>
    <t xml:space="preserve">Tyrese Haliburton Prizm RC</t>
  </si>
  <si>
    <t xml:space="preserve">2020-21 Prizm</t>
  </si>
  <si>
    <t xml:space="preserve">Top-5 PG production; playoff run residual</t>
  </si>
  <si>
    <t xml:space="preserve">Zion Williamson Prizm Silver RC</t>
  </si>
  <si>
    <t xml:space="preserve">2019-20 Prizm</t>
  </si>
  <si>
    <t xml:space="preserve">Silver Prizm</t>
  </si>
  <si>
    <t xml:space="preserve">Health risk tempers; Silver Prizm premium holds</t>
  </si>
  <si>
    <t xml:space="preserve">Football Cards — Top 7 ROI Picks Under $200</t>
  </si>
  <si>
    <t xml:space="preserve">2024 rookie class + Mahomes vintage anchor. Satellite 3% allocation.</t>
  </si>
  <si>
    <t xml:space="preserve">Bears franchise QB; Heisman pedigree</t>
  </si>
  <si>
    <t xml:space="preserve">Jayden Daniels Prizm RC</t>
  </si>
  <si>
    <t xml:space="preserve">2024 OROY; Commanders franchise lift</t>
  </si>
  <si>
    <t xml:space="preserve">Patrick Mahomes Optic RC</t>
  </si>
  <si>
    <t xml:space="preserve">2017 Donruss Optic</t>
  </si>
  <si>
    <t xml:space="preserve">3x SB champ; GOAT trajectory</t>
  </si>
  <si>
    <t xml:space="preserve">C.J. Stroud Prizm RC</t>
  </si>
  <si>
    <t xml:space="preserve">2023 Prizm</t>
  </si>
  <si>
    <t xml:space="preserve">Texans franchise QB; 2023 OROY</t>
  </si>
  <si>
    <t xml:space="preserve">Ja'Marr Chase Prizm Silver RC</t>
  </si>
  <si>
    <t xml:space="preserve">2021 Prizm</t>
  </si>
  <si>
    <t xml:space="preserve">Elite WR production; Silver Prizm premium</t>
  </si>
  <si>
    <t xml:space="preserve">Puka Nacua Prizm RC</t>
  </si>
  <si>
    <t xml:space="preserve">Rams WR breakout; rookie-year production record</t>
  </si>
  <si>
    <t xml:space="preserve">Bijan Robinson Prizm RC</t>
  </si>
  <si>
    <t xml:space="preserve">Falcons workhorse RB; position devaluation risk</t>
  </si>
  <si>
    <t xml:space="preserve">Soccer Cards — Top 6 ROI Picks Under $200</t>
  </si>
  <si>
    <t xml:space="preserve">Yamal/Bellingham as growth; Messi/Ronaldo as GOAT-retirement plays. Flyer 2%.</t>
  </si>
  <si>
    <t xml:space="preserve">Barcelona + Spain generational talent</t>
  </si>
  <si>
    <t xml:space="preserve">Kylian Mbappé Panini Prizm</t>
  </si>
  <si>
    <t xml:space="preserve">2018 Panini Prizm World Cup</t>
  </si>
  <si>
    <t xml:space="preserve">Base</t>
  </si>
  <si>
    <t xml:space="preserve">Real Madrid move; WC performance variance</t>
  </si>
  <si>
    <t xml:space="preserve">Erling Haaland Topps Chrome RC</t>
  </si>
  <si>
    <t xml:space="preserve">2019-20 Topps Chrome Bundesliga</t>
  </si>
  <si>
    <t xml:space="preserve">City goal machine; Ballon d'Or contender</t>
  </si>
  <si>
    <t xml:space="preserve">Jude Bellingham Topps Chrome RC</t>
  </si>
  <si>
    <t xml:space="preserve">2020-21 Topps Chrome Bundesliga</t>
  </si>
  <si>
    <t xml:space="preserve">Real Madrid + England captain trajectory</t>
  </si>
  <si>
    <t xml:space="preserve">Messi Topps Chrome UCL</t>
  </si>
  <si>
    <t xml:space="preserve">2018-19 Topps Chrome UCL</t>
  </si>
  <si>
    <t xml:space="preserve">GOAT lock; retirement proximity premium</t>
  </si>
  <si>
    <t xml:space="preserve">Cristiano Ronaldo Panini Donruss</t>
  </si>
  <si>
    <t xml:space="preserve">2022-23 Donruss</t>
  </si>
  <si>
    <t xml:space="preserve">Retirement-era scarcity; global nostalgia</t>
  </si>
  <si>
    <t xml:space="preserve">Dragon Ball &amp; Digimon — Top 6 ROI Picks Under $200</t>
  </si>
  <si>
    <t xml:space="preserve">Fusion World 2024 relaunch + Digimon 2020 revival. Flyer 1% combined.</t>
  </si>
  <si>
    <t xml:space="preserve">Goku SEC FB01-121</t>
  </si>
  <si>
    <t xml:space="preserve">Fusion World Awakened Pulse (2024)</t>
  </si>
  <si>
    <t xml:space="preserve">Secret Rare</t>
  </si>
  <si>
    <t xml:space="preserve">Fusion World relaunch flagship; anime tie-in</t>
  </si>
  <si>
    <t xml:space="preserve">Omnimon BT1-085 Alt Art</t>
  </si>
  <si>
    <t xml:space="preserve">Digimon Release Special v1.0 (2020)</t>
  </si>
  <si>
    <t xml:space="preserve">Alt Art Rare</t>
  </si>
  <si>
    <t xml:space="preserve">Digimon franchise icon; Tri/Adventure nostalgia</t>
  </si>
  <si>
    <t xml:space="preserve">Vegeta SEC FB02</t>
  </si>
  <si>
    <t xml:space="preserve">Fusion World Blazing Aura (2024)</t>
  </si>
  <si>
    <t xml:space="preserve">Rival arc demand; paired with Goku</t>
  </si>
  <si>
    <t xml:space="preserve">WarGreymon BT1 Alt Art</t>
  </si>
  <si>
    <t xml:space="preserve">Digimon Booster Release Special (2020)</t>
  </si>
  <si>
    <t xml:space="preserve">Agumon evolution; Digimon Adventure mascot</t>
  </si>
  <si>
    <t xml:space="preserve">SSJ4 Goku UR</t>
  </si>
  <si>
    <t xml:space="preserve">Mythic Booster (2022)</t>
  </si>
  <si>
    <t xml:space="preserve">GT nostalgia; SSJ4 transformation iconic</t>
  </si>
  <si>
    <t xml:space="preserve">Beerus SEC</t>
  </si>
  <si>
    <t xml:space="preserve">Dragon Ball Super TCG Zenkai (2022)</t>
  </si>
  <si>
    <t xml:space="preserve">God of Destruction anime arc demand</t>
  </si>
  <si>
    <t xml:space="preserve">Star Wars Unlimited — Top 5 ROI Picks Under $200</t>
  </si>
  <si>
    <t xml:space="preserve">FFG + Asmodee print discipline. Premiere set halo favored. Flyer 2%.</t>
  </si>
  <si>
    <t xml:space="preserve">Darth Vader Hyperspace</t>
  </si>
  <si>
    <t xml:space="preserve">Spark of Rebellion (2024)</t>
  </si>
  <si>
    <t xml:space="preserve">Hyperspace Leader</t>
  </si>
  <si>
    <t xml:space="preserve">Signature villain + premiere-set halo</t>
  </si>
  <si>
    <t xml:space="preserve">Grand Admiral Thrawn Showcase</t>
  </si>
  <si>
    <t xml:space="preserve">Twilight of the Republic (2025)</t>
  </si>
  <si>
    <t xml:space="preserve">Showcase Legendary</t>
  </si>
  <si>
    <t xml:space="preserve">Thrawn cult + Ahsoka show tie-in</t>
  </si>
  <si>
    <t xml:space="preserve">Luke Skywalker Hyperspace</t>
  </si>
  <si>
    <t xml:space="preserve">Hyperspace</t>
  </si>
  <si>
    <t xml:space="preserve">Hero counterpart; iconic IP anchor</t>
  </si>
  <si>
    <t xml:space="preserve">Yoda Showcase</t>
  </si>
  <si>
    <t xml:space="preserve">Shadows of the Galaxy (2024)</t>
  </si>
  <si>
    <t xml:space="preserve">Showcase treatment + Yoda perennial demand</t>
  </si>
  <si>
    <t xml:space="preserve">Boba Fett Hyperspace</t>
  </si>
  <si>
    <t xml:space="preserve">Bounty hunter demand + Mando spillover</t>
  </si>
  <si>
    <t xml:space="preserve">Final Fantasy TCG — Top 4 ROI Picks Under $200</t>
  </si>
  <si>
    <t xml:space="preserve">Thin market; position small. FF7 anniversary residual active. Flyer 1%.</t>
  </si>
  <si>
    <t xml:space="preserve">Cloud Strife Full Art</t>
  </si>
  <si>
    <t xml:space="preserve">Opus XIV Crystal Abyss (2021)</t>
  </si>
  <si>
    <t xml:space="preserve">Full Art Legendary</t>
  </si>
  <si>
    <t xml:space="preserve">FF7 Remake/Rebirth residual; most-requested character</t>
  </si>
  <si>
    <t xml:space="preserve">Sephiroth Full Art</t>
  </si>
  <si>
    <t xml:space="preserve">Opus XIII Crystal Radiance (2020)</t>
  </si>
  <si>
    <t xml:space="preserve">FF7 antagonist; Rebirth residual pop culture</t>
  </si>
  <si>
    <t xml:space="preserve">Tidus Full Art</t>
  </si>
  <si>
    <t xml:space="preserve">Opus IX A Shadow's Menace (2019)</t>
  </si>
  <si>
    <t xml:space="preserve">FFX nostalgia; HD Remaster steady</t>
  </si>
  <si>
    <t xml:space="preserve">Yuna Full Art</t>
  </si>
  <si>
    <t xml:space="preserve">FFX protagonist; Tidus pair dynamic</t>
  </si>
  <si>
    <t xml:space="preserve">Weiss Schwarz &amp; Union Arena — Top 5 ROI Picks Under $200</t>
  </si>
  <si>
    <t xml:space="preserve">Anime-IP volatile; position small. Flyer 1%.</t>
  </si>
  <si>
    <t xml:space="preserve">Gawr Gura SP</t>
  </si>
  <si>
    <t xml:space="preserve">Hololive Production Premium Booster (2022)</t>
  </si>
  <si>
    <t xml:space="preserve">TCGPlayer, Buyee</t>
  </si>
  <si>
    <t xml:space="preserve">Hololive's most popular VTuber; OOP</t>
  </si>
  <si>
    <t xml:space="preserve">Rem Re:Zero SP</t>
  </si>
  <si>
    <t xml:space="preserve">Re:ZERO Starting Life (2017)</t>
  </si>
  <si>
    <t xml:space="preserve">Fan favorite character; anime-sticky IP</t>
  </si>
  <si>
    <t xml:space="preserve">Makoto Nanaya SR</t>
  </si>
  <si>
    <t xml:space="preserve">BlazBlue (2018)</t>
  </si>
  <si>
    <t xml:space="preserve">Super Rare</t>
  </si>
  <si>
    <t xml:space="preserve">Niche fighting-game fanbase; thin resale</t>
  </si>
  <si>
    <t xml:space="preserve">Son Goku SR (Union Arena)</t>
  </si>
  <si>
    <t xml:space="preserve">Dragon Ball Union Arena (2024)</t>
  </si>
  <si>
    <t xml:space="preserve">Union Arena early; prove-it stage for IP pricing</t>
  </si>
  <si>
    <t xml:space="preserve">Luffy SR (Union Arena)</t>
  </si>
  <si>
    <t xml:space="preserve">One Piece Union Arena (2024)</t>
  </si>
  <si>
    <t xml:space="preserve">Union Arena competing with main One Piece TCG</t>
  </si>
  <si>
    <t xml:space="preserve">MetaZoo: Cautionary Case Study — DO NOT BUY</t>
  </si>
  <si>
    <t xml:space="preserve">Included as a negative case study, not a pick list. Reference against future hype-cycle TCGs.</t>
  </si>
  <si>
    <t xml:space="preserve">Timeline</t>
  </si>
  <si>
    <t xml:space="preserve">Event</t>
  </si>
  <si>
    <t xml:space="preserve">2021 Kickstarter</t>
  </si>
  <si>
    <t xml:space="preserve">MetaZoo launches with cryptid lore theme and rain/IRL weather mechanics</t>
  </si>
  <si>
    <t xml:space="preserve">2021 Q3-Q4</t>
  </si>
  <si>
    <t xml:space="preserve">Secondary market mania; 1st Ed Cryptid Nation cases hit $8,000</t>
  </si>
  <si>
    <t xml:space="preserve">2022 Q1</t>
  </si>
  <si>
    <t xml:space="preserve">Nightfall and Wilderness overprinted to meet demand; supply balloon</t>
  </si>
  <si>
    <t xml:space="preserve">2022 Q3</t>
  </si>
  <si>
    <t xml:space="preserve">Secondary values begin falling; hype thins</t>
  </si>
  <si>
    <t xml:space="preserve">2023 March</t>
  </si>
  <si>
    <t xml:space="preserve">MetaZoo Games LLC files Chapter 7 bankruptcy</t>
  </si>
  <si>
    <t xml:space="preserve">2024 January</t>
  </si>
  <si>
    <t xml:space="preserve">1st Ed Cryptid Nation cases trade under $400 — 95% drawdown from peak</t>
  </si>
  <si>
    <t xml:space="preserve">2026 current</t>
  </si>
  <si>
    <t xml:space="preserve">Sealed product non-liquid; singles pennies-on-dollar; no tournament support</t>
  </si>
  <si>
    <t xml:space="preserve">Lessons for future purchases</t>
  </si>
  <si>
    <t xml:space="preserve">1.</t>
  </si>
  <si>
    <t xml:space="preserve">No durable IP scarcity = no long-term floor. MetaZoo was original IP with no pre-existing fanbase.</t>
  </si>
  <si>
    <t xml:space="preserve">2.</t>
  </si>
  <si>
    <t xml:space="preserve">No competitive organized play = no player demand. Speculator-only bases collapse first.</t>
  </si>
  <si>
    <t xml:space="preserve">3.</t>
  </si>
  <si>
    <t xml:space="preserve">Overprinting kills hype-cycle TCGs every time. Monitor print-run disclosures obsessively.</t>
  </si>
  <si>
    <t xml:space="preserve">4.</t>
  </si>
  <si>
    <t xml:space="preserve">A Kickstarter-launched TCG should never exceed 2-3% of any collector allocation.</t>
  </si>
  <si>
    <t xml:space="preserve">5.</t>
  </si>
  <si>
    <t xml:space="preserve">Platform risk: MetaZoo's demise took Mythical Games and third-party grading programs with it.</t>
  </si>
  <si>
    <t xml:space="preserve">6.</t>
  </si>
  <si>
    <t xml:space="preserve">Apply the MetaZoo stress test to Altered, Grand Archive, Sorcery: Contested Realm before positioning.</t>
  </si>
  <si>
    <t xml:space="preserve">OpenClaw Scalper-Monitor Agent Division — Architecture Overview</t>
  </si>
  <si>
    <t xml:space="preserve">Build monitoring-first. One-unit-per-drop self-cap. See instructions doc for full stack details.</t>
  </si>
  <si>
    <t xml:space="preserve">Agent Role</t>
  </si>
  <si>
    <t xml:space="preserve">Cron Cadence</t>
  </si>
  <si>
    <t xml:space="preserve">Data Source</t>
  </si>
  <si>
    <t xml:space="preserve">Output</t>
  </si>
  <si>
    <t xml:space="preserve">LLM Use</t>
  </si>
  <si>
    <t xml:space="preserve">Price Scraper Agent</t>
  </si>
  <si>
    <t xml:space="preserve">Every 15 min</t>
  </si>
  <si>
    <t xml:space="preserve">eBay Browse API, TCGPlayer, PriceCharting, Cardmarket</t>
  </si>
  <si>
    <t xml:space="preserve">SQLite price_history table</t>
  </si>
  <si>
    <t xml:space="preserve">No — pure fetch</t>
  </si>
  <si>
    <t xml:space="preserve">Rotate UAs; curl_cffi chrome120 TLS fingerprint</t>
  </si>
  <si>
    <t xml:space="preserve">Japanese Market Agent</t>
  </si>
  <si>
    <t xml:space="preserve">Every 30 min</t>
  </si>
  <si>
    <t xml:space="preserve">Mercari Japan, Yahoo Auctions via Buyee/Zenmarket</t>
  </si>
  <si>
    <t xml:space="preserve">JPY + USD table with arbitrage delta</t>
  </si>
  <si>
    <t xml:space="preserve">Local Llama 3 for JP translation</t>
  </si>
  <si>
    <t xml:space="preserve">Watch extra-booster chase slots; 5x supply gaps</t>
  </si>
  <si>
    <t xml:space="preserve">Retail Drop Monitor</t>
  </si>
  <si>
    <t xml:space="preserve">Every 60 sec on drop days</t>
  </si>
  <si>
    <t xml:space="preserve">Walmart.com, Target.com, Pokemon Center, Best Buy</t>
  </si>
  <si>
    <t xml:space="preserve">Discord webhook alerts</t>
  </si>
  <si>
    <t xml:space="preserve">No</t>
  </si>
  <si>
    <t xml:space="preserve">ONE per SKU self-cap; never mass-buy; log robots.txt compliance</t>
  </si>
  <si>
    <t xml:space="preserve">Arbitrage Analyst Agent</t>
  </si>
  <si>
    <t xml:space="preserve">Every 2 hours</t>
  </si>
  <si>
    <t xml:space="preserve">Aggregated from Price Scraper + JP Market</t>
  </si>
  <si>
    <t xml:space="preserve">Ranked opportunity list</t>
  </si>
  <si>
    <t xml:space="preserve">Local Llama for rationale text</t>
  </si>
  <si>
    <t xml:space="preserve">Flag regional gaps &gt; 20%, graded-vs-raw &gt; 3x</t>
  </si>
  <si>
    <t xml:space="preserve">Portfolio Tracker Agent</t>
  </si>
  <si>
    <t xml:space="preserve">Daily at 2am</t>
  </si>
  <si>
    <t xml:space="preserve">Local SQLite + user-input owned cards</t>
  </si>
  <si>
    <t xml:space="preserve">HTML portfolio dashboard</t>
  </si>
  <si>
    <t xml:space="preserve">Local Llama for commentary</t>
  </si>
  <si>
    <t xml:space="preserve">Compute unrealized PnL, pie by series, flag laggers</t>
  </si>
  <si>
    <t xml:space="preserve">PSA Pop Watcher</t>
  </si>
  <si>
    <t xml:space="preserve">Weekly Sunday 3am</t>
  </si>
  <si>
    <t xml:space="preserve">PSA pop report scrape</t>
  </si>
  <si>
    <t xml:space="preserve">Alert when pop ratio changes &gt;10%</t>
  </si>
  <si>
    <t xml:space="preserve">Key signal: grade-before-it-closes moments</t>
  </si>
  <si>
    <t xml:space="preserve">Social Signal Agent</t>
  </si>
  <si>
    <t xml:space="preserve">Every 4 hours</t>
  </si>
  <si>
    <t xml:space="preserve">Reddit r/PokeInvesting, r/mtgfinance, Twitter lists</t>
  </si>
  <si>
    <t xml:space="preserve">Hype detector + sentiment delta</t>
  </si>
  <si>
    <t xml:space="preserve">Local Llama 3 for sentiment scoring</t>
  </si>
  <si>
    <t xml:space="preserve">Discount high-volume hype as likely top</t>
  </si>
  <si>
    <t xml:space="preserve">Alert Router</t>
  </si>
  <si>
    <t xml:space="preserve">Event-driven</t>
  </si>
  <si>
    <t xml:space="preserve">All agents</t>
  </si>
  <si>
    <t xml:space="preserve">Discord, email, Pushover</t>
  </si>
  <si>
    <t xml:space="preserve">De-dup, rate-limit, severity tiers</t>
  </si>
  <si>
    <t xml:space="preserve">Strategy Agent</t>
  </si>
  <si>
    <t xml:space="preserve">Weekly Sunday 6am</t>
  </si>
  <si>
    <t xml:space="preserve">All data + calendar</t>
  </si>
  <si>
    <t xml:space="preserve">Weekly rebalance recommendation</t>
  </si>
  <si>
    <t xml:space="preserve">Local Llama 3 for writeup</t>
  </si>
  <si>
    <t xml:space="preserve">Does not execute trades; advisor only</t>
  </si>
</sst>
</file>

<file path=xl/styles.xml><?xml version="1.0" encoding="utf-8"?>
<styleSheet xmlns="http://schemas.openxmlformats.org/spreadsheetml/2006/main">
  <numFmts count="4">
    <numFmt numFmtId="164" formatCode="General"/>
    <numFmt numFmtId="165" formatCode="\$#,##0"/>
    <numFmt numFmtId="166" formatCode="0.0%"/>
    <numFmt numFmtId="167" formatCode="0.0"/>
  </numFmts>
  <fonts count="22">
    <font>
      <sz val="11"/>
      <color theme="1"/>
      <name val="Calibri"/>
      <family val="2"/>
      <charset val="1"/>
    </font>
    <font>
      <sz val="10"/>
      <name val="Arial"/>
      <family val="0"/>
    </font>
    <font>
      <sz val="10"/>
      <name val="Arial"/>
      <family val="0"/>
    </font>
    <font>
      <sz val="10"/>
      <name val="Arial"/>
      <family val="0"/>
    </font>
    <font>
      <b val="true"/>
      <sz val="16"/>
      <color rgb="FF1E2761"/>
      <name val="Arial"/>
      <family val="0"/>
      <charset val="1"/>
    </font>
    <font>
      <i val="true"/>
      <sz val="10"/>
      <color rgb="FF555555"/>
      <name val="Arial"/>
      <family val="0"/>
      <charset val="1"/>
    </font>
    <font>
      <i val="true"/>
      <sz val="12"/>
      <color rgb="FF8B0000"/>
      <name val="Arial"/>
      <family val="0"/>
      <charset val="1"/>
    </font>
    <font>
      <b val="true"/>
      <sz val="11"/>
      <color rgb="FFFFFFFF"/>
      <name val="Arial"/>
      <family val="0"/>
      <charset val="1"/>
    </font>
    <font>
      <b val="true"/>
      <sz val="10"/>
      <name val="Arial"/>
      <family val="0"/>
      <charset val="1"/>
    </font>
    <font>
      <sz val="10"/>
      <name val="Arial"/>
      <family val="0"/>
      <charset val="1"/>
    </font>
    <font>
      <b val="true"/>
      <sz val="18"/>
      <color rgb="FF1E2761"/>
      <name val="Calibri"/>
      <family val="0"/>
      <charset val="1"/>
    </font>
    <font>
      <i val="true"/>
      <sz val="10"/>
      <color rgb="FF555555"/>
      <name val="Calibri"/>
      <family val="0"/>
      <charset val="1"/>
    </font>
    <font>
      <i val="true"/>
      <sz val="12"/>
      <color rgb="FF8B0000"/>
      <name val="Calibri"/>
      <family val="0"/>
      <charset val="1"/>
    </font>
    <font>
      <b val="true"/>
      <sz val="11"/>
      <color rgb="FFFFFFFF"/>
      <name val="Calibri"/>
      <family val="0"/>
      <charset val="1"/>
    </font>
    <font>
      <b val="true"/>
      <sz val="10"/>
      <name val="Calibri"/>
      <family val="0"/>
      <charset val="1"/>
    </font>
    <font>
      <sz val="10"/>
      <name val="Calibri"/>
      <family val="0"/>
      <charset val="1"/>
    </font>
    <font>
      <i val="true"/>
      <sz val="11"/>
      <color rgb="FF555555"/>
      <name val="Calibri"/>
      <family val="0"/>
      <charset val="1"/>
    </font>
    <font>
      <b val="true"/>
      <sz val="14"/>
      <color rgb="FF1E2761"/>
      <name val="Calibri"/>
      <family val="0"/>
      <charset val="1"/>
    </font>
    <font>
      <sz val="11"/>
      <name val="Calibri"/>
      <family val="0"/>
      <charset val="1"/>
    </font>
    <font>
      <b val="true"/>
      <sz val="11"/>
      <name val="Calibri"/>
      <family val="0"/>
      <charset val="1"/>
    </font>
    <font>
      <b val="true"/>
      <sz val="12"/>
      <color rgb="FFFFFFFF"/>
      <name val="Calibri"/>
      <family val="0"/>
      <charset val="1"/>
    </font>
    <font>
      <b val="true"/>
      <sz val="16"/>
      <color rgb="FFB00020"/>
      <name val="Arial"/>
      <family val="0"/>
      <charset val="1"/>
    </font>
  </fonts>
  <fills count="5">
    <fill>
      <patternFill patternType="none"/>
    </fill>
    <fill>
      <patternFill patternType="gray125"/>
    </fill>
    <fill>
      <patternFill patternType="solid">
        <fgColor rgb="FF1E2761"/>
        <bgColor rgb="FF333333"/>
      </patternFill>
    </fill>
    <fill>
      <patternFill patternType="solid">
        <fgColor rgb="FFCADCFC"/>
        <bgColor rgb="FFCCCCCC"/>
      </patternFill>
    </fill>
    <fill>
      <patternFill patternType="solid">
        <fgColor rgb="FFFFCDD2"/>
        <bgColor rgb="FFCCCCCC"/>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19" fillId="3"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9" fillId="4"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6" fontId="9"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B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ADCFC"/>
      <rgbColor rgb="FF000080"/>
      <rgbColor rgb="FFFF00FF"/>
      <rgbColor rgb="FFFFFF00"/>
      <rgbColor rgb="FF00FFFF"/>
      <rgbColor rgb="FF800080"/>
      <rgbColor rgb="FFB00020"/>
      <rgbColor rgb="FF008080"/>
      <rgbColor rgb="FF0000FF"/>
      <rgbColor rgb="FF00CCFF"/>
      <rgbColor rgb="FFCCFFFF"/>
      <rgbColor rgb="FFCCFFCC"/>
      <rgbColor rgb="FFFFFF99"/>
      <rgbColor rgb="FF99CCFF"/>
      <rgbColor rgb="FFFF99CC"/>
      <rgbColor rgb="FFCC99FF"/>
      <rgbColor rgb="FFFFCDD2"/>
      <rgbColor rgb="FF3366FF"/>
      <rgbColor rgb="FF33CCCC"/>
      <rgbColor rgb="FF99CC00"/>
      <rgbColor rgb="FFFFCC00"/>
      <rgbColor rgb="FFFF9900"/>
      <rgbColor rgb="FFFF6600"/>
      <rgbColor rgb="FF555555"/>
      <rgbColor rgb="FF969696"/>
      <rgbColor rgb="FF1E2761"/>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2"/>
    <col collapsed="false" customWidth="true" hidden="false" outlineLevel="0" max="3" min="3" style="1" width="7"/>
    <col collapsed="false" customWidth="true" hidden="false" outlineLevel="0" max="4" min="4" style="1" width="13"/>
    <col collapsed="false" customWidth="true" hidden="false" outlineLevel="0" max="5" min="5" style="1" width="14"/>
    <col collapsed="false" customWidth="true" hidden="false" outlineLevel="0" max="6" min="6" style="1" width="11"/>
    <col collapsed="false" customWidth="true" hidden="false" outlineLevel="0" max="7" min="7" style="1" width="10"/>
    <col collapsed="false" customWidth="true" hidden="false" outlineLevel="0" max="8" min="8" style="1" width="42"/>
  </cols>
  <sheetData>
    <row r="1" customFormat="false" ht="19.5" hidden="false" customHeight="true" outlineLevel="0" collapsed="false">
      <c r="A1" s="2" t="s">
        <v>0</v>
      </c>
      <c r="B1" s="2"/>
      <c r="C1" s="2"/>
      <c r="D1" s="2"/>
      <c r="E1" s="2"/>
      <c r="F1" s="2"/>
      <c r="G1" s="2"/>
      <c r="H1" s="2"/>
    </row>
    <row r="2" customFormat="false" ht="15" hidden="false" customHeight="true" outlineLevel="0" collapsed="false">
      <c r="A2" s="3" t="s">
        <v>1</v>
      </c>
      <c r="B2" s="3"/>
      <c r="C2" s="3"/>
      <c r="D2" s="3"/>
      <c r="E2" s="3"/>
      <c r="F2" s="3"/>
      <c r="G2" s="3"/>
      <c r="H2" s="3"/>
    </row>
    <row r="4" customFormat="false" ht="15" hidden="false" customHeight="true" outlineLevel="0" collapsed="false">
      <c r="A4" s="4" t="s">
        <v>2</v>
      </c>
    </row>
    <row r="6" customFormat="false" ht="26.25" hidden="false" customHeight="true" outlineLevel="0" collapsed="false">
      <c r="A6" s="5" t="s">
        <v>3</v>
      </c>
      <c r="B6" s="5" t="s">
        <v>4</v>
      </c>
      <c r="C6" s="5" t="s">
        <v>5</v>
      </c>
      <c r="D6" s="5" t="s">
        <v>6</v>
      </c>
      <c r="E6" s="5" t="s">
        <v>7</v>
      </c>
      <c r="F6" s="5" t="s">
        <v>8</v>
      </c>
      <c r="G6" s="5" t="s">
        <v>9</v>
      </c>
      <c r="H6" s="5" t="s">
        <v>10</v>
      </c>
    </row>
    <row r="7" customFormat="false" ht="23.25" hidden="false" customHeight="true" outlineLevel="0" collapsed="false">
      <c r="A7" s="6" t="s">
        <v>11</v>
      </c>
      <c r="B7" s="7" t="s">
        <v>12</v>
      </c>
      <c r="C7" s="7" t="n">
        <v>15</v>
      </c>
      <c r="D7" s="7" t="n">
        <v>155</v>
      </c>
      <c r="E7" s="7" t="s">
        <v>13</v>
      </c>
      <c r="F7" s="7" t="s">
        <v>14</v>
      </c>
      <c r="G7" s="7" t="s">
        <v>15</v>
      </c>
      <c r="H7" s="7" t="s">
        <v>16</v>
      </c>
    </row>
    <row r="8" customFormat="false" ht="15" hidden="false" customHeight="true" outlineLevel="0" collapsed="false">
      <c r="A8" s="6" t="s">
        <v>17</v>
      </c>
      <c r="B8" s="7" t="s">
        <v>18</v>
      </c>
      <c r="C8" s="7" t="n">
        <v>12</v>
      </c>
      <c r="D8" s="7" t="n">
        <v>160</v>
      </c>
      <c r="E8" s="7" t="s">
        <v>19</v>
      </c>
      <c r="F8" s="7" t="s">
        <v>20</v>
      </c>
      <c r="G8" s="7" t="s">
        <v>21</v>
      </c>
      <c r="H8" s="7" t="s">
        <v>22</v>
      </c>
    </row>
    <row r="9" customFormat="false" ht="15" hidden="false" customHeight="true" outlineLevel="0" collapsed="false">
      <c r="A9" s="6" t="s">
        <v>23</v>
      </c>
      <c r="B9" s="7" t="s">
        <v>24</v>
      </c>
      <c r="C9" s="7" t="n">
        <v>10</v>
      </c>
      <c r="D9" s="7" t="n">
        <v>120</v>
      </c>
      <c r="E9" s="7" t="s">
        <v>25</v>
      </c>
      <c r="F9" s="7" t="s">
        <v>26</v>
      </c>
      <c r="G9" s="7" t="s">
        <v>27</v>
      </c>
      <c r="H9" s="7" t="s">
        <v>28</v>
      </c>
    </row>
    <row r="10" customFormat="false" ht="15" hidden="false" customHeight="true" outlineLevel="0" collapsed="false">
      <c r="A10" s="6" t="s">
        <v>29</v>
      </c>
      <c r="B10" s="7" t="s">
        <v>30</v>
      </c>
      <c r="C10" s="7" t="n">
        <v>10</v>
      </c>
      <c r="D10" s="7" t="n">
        <v>145</v>
      </c>
      <c r="E10" s="7" t="s">
        <v>31</v>
      </c>
      <c r="F10" s="7" t="s">
        <v>32</v>
      </c>
      <c r="G10" s="7" t="s">
        <v>33</v>
      </c>
      <c r="H10" s="7" t="s">
        <v>34</v>
      </c>
    </row>
    <row r="11" customFormat="false" ht="15" hidden="false" customHeight="true" outlineLevel="0" collapsed="false">
      <c r="A11" s="6" t="s">
        <v>35</v>
      </c>
      <c r="B11" s="7" t="s">
        <v>36</v>
      </c>
      <c r="C11" s="7" t="n">
        <v>8</v>
      </c>
      <c r="D11" s="7" t="n">
        <v>150</v>
      </c>
      <c r="E11" s="7" t="s">
        <v>25</v>
      </c>
      <c r="F11" s="7" t="s">
        <v>26</v>
      </c>
      <c r="G11" s="7" t="s">
        <v>37</v>
      </c>
      <c r="H11" s="7" t="s">
        <v>38</v>
      </c>
    </row>
    <row r="12" customFormat="false" ht="15" hidden="false" customHeight="true" outlineLevel="0" collapsed="false">
      <c r="A12" s="6" t="s">
        <v>39</v>
      </c>
      <c r="B12" s="7" t="s">
        <v>40</v>
      </c>
      <c r="C12" s="7" t="n">
        <v>8</v>
      </c>
      <c r="D12" s="7" t="n">
        <v>130</v>
      </c>
      <c r="E12" s="7" t="s">
        <v>41</v>
      </c>
      <c r="F12" s="7" t="s">
        <v>26</v>
      </c>
      <c r="G12" s="7" t="s">
        <v>27</v>
      </c>
      <c r="H12" s="7" t="s">
        <v>42</v>
      </c>
    </row>
    <row r="13" customFormat="false" ht="15" hidden="false" customHeight="true" outlineLevel="0" collapsed="false">
      <c r="A13" s="6" t="s">
        <v>43</v>
      </c>
      <c r="B13" s="7" t="s">
        <v>44</v>
      </c>
      <c r="C13" s="7" t="n">
        <v>10</v>
      </c>
      <c r="D13" s="7" t="n">
        <v>125</v>
      </c>
      <c r="E13" s="7" t="s">
        <v>25</v>
      </c>
      <c r="F13" s="7" t="s">
        <v>26</v>
      </c>
      <c r="G13" s="7" t="s">
        <v>45</v>
      </c>
      <c r="H13" s="7" t="s">
        <v>46</v>
      </c>
    </row>
    <row r="14" customFormat="false" ht="15" hidden="false" customHeight="true" outlineLevel="0" collapsed="false">
      <c r="A14" s="6" t="s">
        <v>47</v>
      </c>
      <c r="B14" s="7" t="s">
        <v>48</v>
      </c>
      <c r="C14" s="7" t="n">
        <v>8</v>
      </c>
      <c r="D14" s="7" t="n">
        <v>140</v>
      </c>
      <c r="E14" s="7" t="s">
        <v>41</v>
      </c>
      <c r="F14" s="7" t="s">
        <v>32</v>
      </c>
      <c r="G14" s="7" t="s">
        <v>37</v>
      </c>
      <c r="H14" s="7" t="s">
        <v>49</v>
      </c>
    </row>
    <row r="15" customFormat="false" ht="15" hidden="false" customHeight="true" outlineLevel="0" collapsed="false">
      <c r="A15" s="6" t="s">
        <v>50</v>
      </c>
      <c r="B15" s="7" t="s">
        <v>51</v>
      </c>
      <c r="C15" s="7" t="n">
        <v>7</v>
      </c>
      <c r="D15" s="7" t="n">
        <v>110</v>
      </c>
      <c r="E15" s="7" t="s">
        <v>52</v>
      </c>
      <c r="F15" s="7" t="s">
        <v>26</v>
      </c>
      <c r="G15" s="7" t="s">
        <v>53</v>
      </c>
      <c r="H15" s="7" t="s">
        <v>54</v>
      </c>
    </row>
    <row r="16" customFormat="false" ht="15" hidden="false" customHeight="true" outlineLevel="0" collapsed="false">
      <c r="A16" s="6" t="s">
        <v>55</v>
      </c>
      <c r="B16" s="7" t="s">
        <v>56</v>
      </c>
      <c r="C16" s="7" t="n">
        <v>6</v>
      </c>
      <c r="D16" s="7" t="n">
        <v>135</v>
      </c>
      <c r="E16" s="7" t="s">
        <v>57</v>
      </c>
      <c r="F16" s="7" t="s">
        <v>32</v>
      </c>
      <c r="G16" s="7" t="s">
        <v>27</v>
      </c>
      <c r="H16" s="7" t="s">
        <v>58</v>
      </c>
    </row>
    <row r="17" customFormat="false" ht="15" hidden="false" customHeight="true" outlineLevel="0" collapsed="false">
      <c r="A17" s="6" t="s">
        <v>59</v>
      </c>
      <c r="B17" s="7" t="s">
        <v>60</v>
      </c>
      <c r="C17" s="7" t="n">
        <v>6</v>
      </c>
      <c r="D17" s="7" t="n">
        <v>115</v>
      </c>
      <c r="E17" s="7" t="s">
        <v>61</v>
      </c>
      <c r="F17" s="7" t="s">
        <v>62</v>
      </c>
      <c r="G17" s="7" t="s">
        <v>33</v>
      </c>
      <c r="H17" s="7" t="s">
        <v>63</v>
      </c>
    </row>
    <row r="18" customFormat="false" ht="15" hidden="false" customHeight="true" outlineLevel="0" collapsed="false">
      <c r="A18" s="6" t="s">
        <v>64</v>
      </c>
      <c r="B18" s="7" t="s">
        <v>65</v>
      </c>
      <c r="C18" s="7" t="n">
        <v>5</v>
      </c>
      <c r="D18" s="7" t="n">
        <v>105</v>
      </c>
      <c r="E18" s="7" t="s">
        <v>57</v>
      </c>
      <c r="F18" s="7" t="s">
        <v>62</v>
      </c>
      <c r="G18" s="7" t="s">
        <v>66</v>
      </c>
      <c r="H18" s="7" t="s">
        <v>67</v>
      </c>
    </row>
    <row r="19" customFormat="false" ht="15" hidden="false" customHeight="true" outlineLevel="0" collapsed="false">
      <c r="A19" s="6" t="s">
        <v>68</v>
      </c>
      <c r="B19" s="7" t="s">
        <v>69</v>
      </c>
      <c r="C19" s="7" t="n">
        <v>4</v>
      </c>
      <c r="D19" s="7" t="n">
        <v>85</v>
      </c>
      <c r="E19" s="7" t="s">
        <v>61</v>
      </c>
      <c r="F19" s="7" t="s">
        <v>62</v>
      </c>
      <c r="G19" s="7" t="s">
        <v>33</v>
      </c>
      <c r="H19" s="7" t="s">
        <v>70</v>
      </c>
    </row>
    <row r="20" customFormat="false" ht="15" hidden="false" customHeight="true" outlineLevel="0" collapsed="false">
      <c r="A20" s="6" t="s">
        <v>71</v>
      </c>
      <c r="B20" s="7" t="s">
        <v>72</v>
      </c>
      <c r="C20" s="7" t="n">
        <v>5</v>
      </c>
      <c r="D20" s="7" t="n">
        <v>100</v>
      </c>
      <c r="E20" s="7" t="s">
        <v>61</v>
      </c>
      <c r="F20" s="7" t="s">
        <v>62</v>
      </c>
      <c r="G20" s="7" t="s">
        <v>73</v>
      </c>
      <c r="H20" s="7" t="s">
        <v>74</v>
      </c>
    </row>
    <row r="21" customFormat="false" ht="23.25" hidden="false" customHeight="true" outlineLevel="0" collapsed="false">
      <c r="A21" s="6" t="s">
        <v>75</v>
      </c>
      <c r="B21" s="7" t="s">
        <v>76</v>
      </c>
      <c r="C21" s="7" t="n">
        <v>0</v>
      </c>
      <c r="D21" s="7" t="n">
        <v>0</v>
      </c>
      <c r="E21" s="7" t="s">
        <v>77</v>
      </c>
      <c r="F21" s="7" t="s">
        <v>78</v>
      </c>
      <c r="G21" s="7" t="s">
        <v>79</v>
      </c>
      <c r="H21" s="7" t="s">
        <v>80</v>
      </c>
    </row>
    <row r="23" customFormat="false" ht="15" hidden="false" customHeight="true" outlineLevel="0" collapsed="false">
      <c r="A23" s="8" t="s">
        <v>81</v>
      </c>
    </row>
    <row r="24" customFormat="false" ht="15" hidden="false" customHeight="true" outlineLevel="0" collapsed="false">
      <c r="A24" s="8" t="s">
        <v>20</v>
      </c>
      <c r="B24" s="9" t="s">
        <v>82</v>
      </c>
      <c r="C24" s="9"/>
      <c r="D24" s="9"/>
      <c r="E24" s="9"/>
      <c r="F24" s="9"/>
      <c r="G24" s="9"/>
      <c r="H24" s="9"/>
    </row>
    <row r="25" customFormat="false" ht="15" hidden="false" customHeight="true" outlineLevel="0" collapsed="false">
      <c r="A25" s="8" t="s">
        <v>14</v>
      </c>
      <c r="B25" s="9" t="s">
        <v>83</v>
      </c>
      <c r="C25" s="9"/>
      <c r="D25" s="9"/>
      <c r="E25" s="9"/>
      <c r="F25" s="9"/>
      <c r="G25" s="9"/>
      <c r="H25" s="9"/>
    </row>
    <row r="26" customFormat="false" ht="15" hidden="false" customHeight="true" outlineLevel="0" collapsed="false">
      <c r="A26" s="8" t="s">
        <v>26</v>
      </c>
      <c r="B26" s="9" t="s">
        <v>84</v>
      </c>
      <c r="C26" s="9"/>
      <c r="D26" s="9"/>
      <c r="E26" s="9"/>
      <c r="F26" s="9"/>
      <c r="G26" s="9"/>
      <c r="H26" s="9"/>
    </row>
    <row r="27" customFormat="false" ht="15" hidden="false" customHeight="true" outlineLevel="0" collapsed="false">
      <c r="A27" s="8" t="s">
        <v>32</v>
      </c>
      <c r="B27" s="9" t="s">
        <v>85</v>
      </c>
      <c r="C27" s="9"/>
      <c r="D27" s="9"/>
      <c r="E27" s="9"/>
      <c r="F27" s="9"/>
      <c r="G27" s="9"/>
      <c r="H27" s="9"/>
    </row>
    <row r="28" customFormat="false" ht="15" hidden="false" customHeight="true" outlineLevel="0" collapsed="false">
      <c r="A28" s="8" t="s">
        <v>62</v>
      </c>
      <c r="B28" s="9" t="s">
        <v>86</v>
      </c>
      <c r="C28" s="9"/>
      <c r="D28" s="9"/>
      <c r="E28" s="9"/>
      <c r="F28" s="9"/>
      <c r="G28" s="9"/>
      <c r="H28" s="9"/>
    </row>
    <row r="29" customFormat="false" ht="15" hidden="false" customHeight="true" outlineLevel="0" collapsed="false">
      <c r="A29" s="8" t="s">
        <v>78</v>
      </c>
      <c r="B29" s="9" t="s">
        <v>87</v>
      </c>
      <c r="C29" s="9"/>
      <c r="D29" s="9"/>
      <c r="E29" s="9"/>
      <c r="F29" s="9"/>
      <c r="G29" s="9"/>
      <c r="H29" s="9"/>
    </row>
    <row r="32" customFormat="false" ht="15" hidden="false" customHeight="true" outlineLevel="0" collapsed="false">
      <c r="A32" s="8" t="s">
        <v>88</v>
      </c>
    </row>
    <row r="33" customFormat="false" ht="69.75" hidden="false" customHeight="true" outlineLevel="0" collapsed="false">
      <c r="A33" s="10" t="s">
        <v>89</v>
      </c>
      <c r="B33" s="10"/>
      <c r="C33" s="10"/>
      <c r="D33" s="10"/>
      <c r="E33" s="10"/>
      <c r="F33" s="10"/>
      <c r="G33" s="10"/>
      <c r="H33" s="10"/>
    </row>
    <row r="34" customFormat="false" ht="15" hidden="false" customHeight="true" outlineLevel="0" collapsed="false">
      <c r="A34" s="10"/>
      <c r="B34" s="10"/>
      <c r="C34" s="10"/>
      <c r="D34" s="10"/>
      <c r="E34" s="10"/>
      <c r="F34" s="10"/>
      <c r="G34" s="10"/>
      <c r="H34" s="10"/>
    </row>
    <row r="35" customFormat="false" ht="15" hidden="false" customHeight="true" outlineLevel="0" collapsed="false">
      <c r="A35" s="10"/>
      <c r="B35" s="10"/>
      <c r="C35" s="10"/>
      <c r="D35" s="10"/>
      <c r="E35" s="10"/>
      <c r="F35" s="10"/>
      <c r="G35" s="10"/>
      <c r="H35" s="10"/>
    </row>
    <row r="36" customFormat="false" ht="15" hidden="false" customHeight="true" outlineLevel="0" collapsed="false">
      <c r="A36" s="10"/>
      <c r="B36" s="10"/>
      <c r="C36" s="10"/>
      <c r="D36" s="10"/>
      <c r="E36" s="10"/>
      <c r="F36" s="10"/>
      <c r="G36" s="10"/>
      <c r="H36" s="10"/>
    </row>
  </sheetData>
  <mergeCells count="9">
    <mergeCell ref="A1:H1"/>
    <mergeCell ref="A2:H2"/>
    <mergeCell ref="B24:H24"/>
    <mergeCell ref="B25:H25"/>
    <mergeCell ref="B26:H26"/>
    <mergeCell ref="B27:H27"/>
    <mergeCell ref="B28:H28"/>
    <mergeCell ref="B29:H29"/>
    <mergeCell ref="A33:H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0"/>
  </cols>
  <sheetData>
    <row r="1" customFormat="false" ht="22.05" hidden="false" customHeight="false" outlineLevel="0" collapsed="false">
      <c r="A1" s="11" t="s">
        <v>90</v>
      </c>
      <c r="B1" s="11"/>
      <c r="C1" s="11"/>
      <c r="D1" s="11"/>
      <c r="E1" s="11"/>
    </row>
    <row r="2" customFormat="false" ht="15" hidden="false" customHeight="false" outlineLevel="0" collapsed="false">
      <c r="A2" s="12" t="s">
        <v>91</v>
      </c>
      <c r="B2" s="12"/>
      <c r="C2" s="12"/>
      <c r="D2" s="12"/>
      <c r="E2" s="12"/>
    </row>
    <row r="4" customFormat="false" ht="15" hidden="false" customHeight="false" outlineLevel="0" collapsed="false">
      <c r="A4" s="13" t="s">
        <v>2</v>
      </c>
    </row>
    <row r="6" customFormat="false" ht="15" hidden="false" customHeight="false" outlineLevel="0" collapsed="false">
      <c r="A6" s="14" t="s">
        <v>92</v>
      </c>
      <c r="B6" s="14" t="s">
        <v>93</v>
      </c>
    </row>
    <row r="7" customFormat="false" ht="46.25" hidden="false" customHeight="false" outlineLevel="0" collapsed="false">
      <c r="A7" s="15" t="n">
        <v>1</v>
      </c>
      <c r="B7" s="16" t="s">
        <v>94</v>
      </c>
    </row>
    <row r="8" customFormat="false" ht="23.85" hidden="false" customHeight="false" outlineLevel="0" collapsed="false">
      <c r="A8" s="15" t="n">
        <v>2</v>
      </c>
      <c r="B8" s="16" t="s">
        <v>95</v>
      </c>
    </row>
    <row r="9" customFormat="false" ht="23.85" hidden="false" customHeight="false" outlineLevel="0" collapsed="false">
      <c r="A9" s="15" t="n">
        <v>3</v>
      </c>
      <c r="B9" s="16" t="s">
        <v>96</v>
      </c>
    </row>
    <row r="10" customFormat="false" ht="23.85" hidden="false" customHeight="false" outlineLevel="0" collapsed="false">
      <c r="A10" s="15" t="n">
        <v>4</v>
      </c>
      <c r="B10" s="16" t="s">
        <v>97</v>
      </c>
    </row>
    <row r="11" customFormat="false" ht="23.85" hidden="false" customHeight="false" outlineLevel="0" collapsed="false">
      <c r="A11" s="15" t="n">
        <v>5</v>
      </c>
      <c r="B11" s="16" t="s">
        <v>98</v>
      </c>
    </row>
    <row r="12" customFormat="false" ht="23.85" hidden="false" customHeight="false" outlineLevel="0" collapsed="false">
      <c r="A12" s="15" t="n">
        <v>6</v>
      </c>
      <c r="B12" s="16" t="s">
        <v>99</v>
      </c>
    </row>
    <row r="13" customFormat="false" ht="23.85" hidden="false" customHeight="false" outlineLevel="0" collapsed="false">
      <c r="A13" s="15" t="n">
        <v>7</v>
      </c>
      <c r="B13" s="16" t="s">
        <v>100</v>
      </c>
    </row>
    <row r="15" customFormat="false" ht="15" hidden="false" customHeight="false" outlineLevel="0" collapsed="false">
      <c r="A15" s="13" t="s">
        <v>2</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50"/>
    <col collapsed="false" customWidth="true" hidden="false" outlineLevel="0" max="3" min="3" style="1" width="55"/>
  </cols>
  <sheetData>
    <row r="1" customFormat="false" ht="21.75" hidden="false" customHeight="true" outlineLevel="0" collapsed="false">
      <c r="A1" s="17" t="s">
        <v>101</v>
      </c>
      <c r="B1" s="17"/>
      <c r="C1" s="17"/>
    </row>
    <row r="2" customFormat="false" ht="15" hidden="false" customHeight="true" outlineLevel="0" collapsed="false">
      <c r="A2" s="18" t="s">
        <v>102</v>
      </c>
      <c r="B2" s="18"/>
      <c r="C2" s="18"/>
    </row>
    <row r="4" customFormat="false" ht="15" hidden="false" customHeight="true" outlineLevel="0" collapsed="false">
      <c r="A4" s="19" t="s">
        <v>2</v>
      </c>
    </row>
    <row r="6" customFormat="false" ht="17.25" hidden="false" customHeight="true" outlineLevel="0" collapsed="false">
      <c r="A6" s="20" t="s">
        <v>103</v>
      </c>
      <c r="B6" s="20"/>
      <c r="C6" s="20"/>
    </row>
    <row r="7" customFormat="false" ht="15" hidden="false" customHeight="true" outlineLevel="0" collapsed="false">
      <c r="A7" s="21" t="s">
        <v>104</v>
      </c>
      <c r="B7" s="21"/>
      <c r="C7" s="21"/>
    </row>
    <row r="8" customFormat="false" ht="15" hidden="false" customHeight="true" outlineLevel="0" collapsed="false">
      <c r="A8" s="21"/>
      <c r="B8" s="21"/>
      <c r="C8" s="21"/>
    </row>
    <row r="9" customFormat="false" ht="15" hidden="false" customHeight="true" outlineLevel="0" collapsed="false">
      <c r="A9" s="21"/>
      <c r="B9" s="21"/>
      <c r="C9" s="21"/>
    </row>
    <row r="10" customFormat="false" ht="15" hidden="false" customHeight="true" outlineLevel="0" collapsed="false">
      <c r="A10" s="21"/>
      <c r="B10" s="21"/>
      <c r="C10" s="21"/>
    </row>
    <row r="11" customFormat="false" ht="15" hidden="false" customHeight="true" outlineLevel="0" collapsed="false">
      <c r="A11" s="21"/>
      <c r="B11" s="21"/>
      <c r="C11" s="21"/>
    </row>
    <row r="12" customFormat="false" ht="15" hidden="false" customHeight="true" outlineLevel="0" collapsed="false">
      <c r="A12" s="21"/>
      <c r="B12" s="21"/>
      <c r="C12" s="21"/>
    </row>
    <row r="14" customFormat="false" ht="15" hidden="false" customHeight="true" outlineLevel="0" collapsed="false">
      <c r="A14" s="22" t="s">
        <v>105</v>
      </c>
      <c r="B14" s="22"/>
      <c r="C14" s="22"/>
    </row>
    <row r="16" customFormat="false" ht="15" hidden="false" customHeight="true" outlineLevel="0" collapsed="false">
      <c r="A16" s="23" t="s">
        <v>106</v>
      </c>
      <c r="B16" s="23" t="s">
        <v>107</v>
      </c>
      <c r="C16" s="23" t="s">
        <v>108</v>
      </c>
    </row>
    <row r="17" customFormat="false" ht="109.5" hidden="false" customHeight="true" outlineLevel="0" collapsed="false">
      <c r="A17" s="24" t="s">
        <v>109</v>
      </c>
      <c r="B17" s="25" t="s">
        <v>110</v>
      </c>
      <c r="C17" s="25" t="s">
        <v>111</v>
      </c>
    </row>
    <row r="18" customFormat="false" ht="109.5" hidden="false" customHeight="true" outlineLevel="0" collapsed="false">
      <c r="A18" s="24" t="s">
        <v>112</v>
      </c>
      <c r="B18" s="25" t="s">
        <v>113</v>
      </c>
      <c r="C18" s="25" t="s">
        <v>114</v>
      </c>
    </row>
    <row r="19" customFormat="false" ht="109.5" hidden="false" customHeight="true" outlineLevel="0" collapsed="false">
      <c r="A19" s="24" t="s">
        <v>115</v>
      </c>
      <c r="B19" s="25" t="s">
        <v>116</v>
      </c>
      <c r="C19" s="25" t="s">
        <v>117</v>
      </c>
    </row>
    <row r="22" customFormat="false" ht="17.25" hidden="false" customHeight="true" outlineLevel="0" collapsed="false">
      <c r="A22" s="20" t="s">
        <v>118</v>
      </c>
      <c r="B22" s="20"/>
      <c r="C22" s="20"/>
    </row>
    <row r="24" customFormat="false" ht="15" hidden="false" customHeight="true" outlineLevel="0" collapsed="false">
      <c r="A24" s="23" t="s">
        <v>119</v>
      </c>
      <c r="B24" s="23" t="s">
        <v>120</v>
      </c>
    </row>
    <row r="25" customFormat="false" ht="49.5" hidden="false" customHeight="true" outlineLevel="0" collapsed="false">
      <c r="A25" s="26" t="s">
        <v>121</v>
      </c>
      <c r="B25" s="25" t="s">
        <v>122</v>
      </c>
    </row>
    <row r="26" customFormat="false" ht="49.5" hidden="false" customHeight="true" outlineLevel="0" collapsed="false">
      <c r="A26" s="26" t="s">
        <v>123</v>
      </c>
      <c r="B26" s="25" t="s">
        <v>124</v>
      </c>
    </row>
    <row r="27" customFormat="false" ht="49.5" hidden="false" customHeight="true" outlineLevel="0" collapsed="false">
      <c r="A27" s="26" t="s">
        <v>125</v>
      </c>
      <c r="B27" s="25" t="s">
        <v>126</v>
      </c>
    </row>
    <row r="28" customFormat="false" ht="49.5" hidden="false" customHeight="true" outlineLevel="0" collapsed="false">
      <c r="A28" s="26" t="s">
        <v>127</v>
      </c>
      <c r="B28" s="25" t="s">
        <v>128</v>
      </c>
    </row>
    <row r="29" customFormat="false" ht="49.5" hidden="false" customHeight="true" outlineLevel="0" collapsed="false">
      <c r="A29" s="26" t="s">
        <v>129</v>
      </c>
      <c r="B29" s="25" t="s">
        <v>130</v>
      </c>
    </row>
    <row r="30" customFormat="false" ht="49.5" hidden="false" customHeight="true" outlineLevel="0" collapsed="false">
      <c r="A30" s="26" t="s">
        <v>131</v>
      </c>
      <c r="B30" s="25" t="s">
        <v>132</v>
      </c>
    </row>
    <row r="33" customFormat="false" ht="17.25" hidden="false" customHeight="true" outlineLevel="0" collapsed="false">
      <c r="A33" s="20" t="s">
        <v>133</v>
      </c>
      <c r="B33" s="20"/>
      <c r="C33" s="20"/>
    </row>
    <row r="34" customFormat="false" ht="15" hidden="false" customHeight="true" outlineLevel="0" collapsed="false">
      <c r="A34" s="21" t="s">
        <v>134</v>
      </c>
      <c r="B34" s="21"/>
      <c r="C34" s="21"/>
    </row>
    <row r="35" customFormat="false" ht="15" hidden="false" customHeight="true" outlineLevel="0" collapsed="false">
      <c r="A35" s="21"/>
      <c r="B35" s="21"/>
      <c r="C35" s="21"/>
    </row>
    <row r="36" customFormat="false" ht="15" hidden="false" customHeight="true" outlineLevel="0" collapsed="false">
      <c r="A36" s="21"/>
      <c r="B36" s="21"/>
      <c r="C36" s="21"/>
    </row>
    <row r="37" customFormat="false" ht="15" hidden="false" customHeight="true" outlineLevel="0" collapsed="false">
      <c r="A37" s="21"/>
      <c r="B37" s="21"/>
      <c r="C37" s="21"/>
    </row>
    <row r="38" customFormat="false" ht="15" hidden="false" customHeight="true" outlineLevel="0" collapsed="false">
      <c r="A38" s="21"/>
      <c r="B38" s="21"/>
      <c r="C38" s="21"/>
    </row>
    <row r="40" customFormat="false" ht="15" hidden="false" customHeight="true" outlineLevel="0" collapsed="false">
      <c r="A40" s="27" t="s">
        <v>2</v>
      </c>
      <c r="B40" s="27"/>
      <c r="C40" s="27"/>
    </row>
  </sheetData>
  <mergeCells count="9">
    <mergeCell ref="A1:C1"/>
    <mergeCell ref="A2:C2"/>
    <mergeCell ref="A6:C6"/>
    <mergeCell ref="A7:C12"/>
    <mergeCell ref="A14:C14"/>
    <mergeCell ref="A22:C22"/>
    <mergeCell ref="A33:C33"/>
    <mergeCell ref="A34:C38"/>
    <mergeCell ref="A40:C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2"/>
    <col collapsed="false" customWidth="true" hidden="false" outlineLevel="0" max="3" min="3" style="1" width="13"/>
    <col collapsed="false" customWidth="true" hidden="false" outlineLevel="0" max="4" min="4" style="1" width="28"/>
    <col collapsed="false" customWidth="true" hidden="false" outlineLevel="0" max="6" min="5" style="1" width="12"/>
    <col collapsed="false" customWidth="true" hidden="false" outlineLevel="0" max="7" min="7" style="1" width="10"/>
    <col collapsed="false" customWidth="true" hidden="false" outlineLevel="0" max="8" min="8" style="1" width="11"/>
    <col collapsed="false" customWidth="true" hidden="false" outlineLevel="0" max="9" min="9" style="1" width="9"/>
  </cols>
  <sheetData>
    <row r="1" customFormat="false" ht="19.5" hidden="false" customHeight="true" outlineLevel="0" collapsed="false">
      <c r="A1" s="2" t="s">
        <v>135</v>
      </c>
      <c r="B1" s="2"/>
      <c r="C1" s="2"/>
      <c r="D1" s="2"/>
      <c r="E1" s="2"/>
      <c r="F1" s="2"/>
      <c r="G1" s="2"/>
      <c r="H1" s="2"/>
      <c r="I1" s="2"/>
    </row>
    <row r="2" customFormat="false" ht="15" hidden="false" customHeight="true" outlineLevel="0" collapsed="false">
      <c r="A2" s="3" t="s">
        <v>136</v>
      </c>
      <c r="B2" s="3"/>
      <c r="C2" s="3"/>
      <c r="D2" s="3"/>
      <c r="E2" s="3"/>
      <c r="F2" s="3"/>
      <c r="G2" s="3"/>
      <c r="H2" s="3"/>
      <c r="I2" s="3"/>
    </row>
    <row r="4" customFormat="false" ht="26.25" hidden="false" customHeight="true" outlineLevel="0" collapsed="false">
      <c r="A4" s="5" t="s">
        <v>137</v>
      </c>
      <c r="B4" s="5" t="s">
        <v>138</v>
      </c>
      <c r="C4" s="5" t="s">
        <v>3</v>
      </c>
      <c r="D4" s="5" t="s">
        <v>139</v>
      </c>
      <c r="E4" s="5" t="s">
        <v>140</v>
      </c>
      <c r="F4" s="5" t="s">
        <v>141</v>
      </c>
      <c r="G4" s="5" t="s">
        <v>142</v>
      </c>
      <c r="H4" s="5" t="s">
        <v>143</v>
      </c>
      <c r="I4" s="5" t="s">
        <v>144</v>
      </c>
    </row>
    <row r="5" customFormat="false" ht="15" hidden="false" customHeight="true" outlineLevel="0" collapsed="false">
      <c r="A5" s="28" t="n">
        <v>1</v>
      </c>
      <c r="B5" s="7" t="s">
        <v>145</v>
      </c>
      <c r="C5" s="28" t="s">
        <v>146</v>
      </c>
      <c r="D5" s="7" t="s">
        <v>147</v>
      </c>
      <c r="E5" s="29" t="n">
        <v>200</v>
      </c>
      <c r="F5" s="29" t="n">
        <v>400</v>
      </c>
      <c r="G5" s="30" t="n">
        <f aca="false">IFERROR((F5-E5)/E5,0)</f>
        <v>1</v>
      </c>
      <c r="H5" s="28" t="n">
        <v>10</v>
      </c>
      <c r="I5" s="28" t="n">
        <v>10</v>
      </c>
    </row>
    <row r="6" customFormat="false" ht="15" hidden="false" customHeight="true" outlineLevel="0" collapsed="false">
      <c r="A6" s="28" t="n">
        <v>2</v>
      </c>
      <c r="B6" s="7" t="s">
        <v>148</v>
      </c>
      <c r="C6" s="28" t="s">
        <v>146</v>
      </c>
      <c r="D6" s="7" t="s">
        <v>147</v>
      </c>
      <c r="E6" s="29" t="n">
        <v>185</v>
      </c>
      <c r="F6" s="29" t="n">
        <v>380</v>
      </c>
      <c r="G6" s="30" t="n">
        <f aca="false">IFERROR((F6-E6)/E6,0)</f>
        <v>1.05405405405405</v>
      </c>
      <c r="H6" s="28" t="n">
        <v>10</v>
      </c>
      <c r="I6" s="28" t="n">
        <v>10</v>
      </c>
    </row>
    <row r="7" customFormat="false" ht="15" hidden="false" customHeight="true" outlineLevel="0" collapsed="false">
      <c r="A7" s="28" t="n">
        <v>3</v>
      </c>
      <c r="B7" s="7" t="s">
        <v>149</v>
      </c>
      <c r="C7" s="28" t="s">
        <v>12</v>
      </c>
      <c r="D7" s="7" t="s">
        <v>150</v>
      </c>
      <c r="E7" s="29" t="n">
        <v>190</v>
      </c>
      <c r="F7" s="29" t="n">
        <v>380</v>
      </c>
      <c r="G7" s="30" t="n">
        <f aca="false">IFERROR((F7-E7)/E7,0)</f>
        <v>1</v>
      </c>
      <c r="H7" s="28" t="n">
        <v>9</v>
      </c>
      <c r="I7" s="28" t="n">
        <v>5</v>
      </c>
    </row>
    <row r="8" customFormat="false" ht="15" hidden="false" customHeight="true" outlineLevel="0" collapsed="false">
      <c r="A8" s="28" t="n">
        <v>4</v>
      </c>
      <c r="B8" s="7" t="s">
        <v>151</v>
      </c>
      <c r="C8" s="28" t="s">
        <v>12</v>
      </c>
      <c r="D8" s="7" t="s">
        <v>152</v>
      </c>
      <c r="E8" s="29" t="n">
        <v>150</v>
      </c>
      <c r="F8" s="29" t="n">
        <v>320</v>
      </c>
      <c r="G8" s="30" t="n">
        <f aca="false">IFERROR((F8-E8)/E8,0)</f>
        <v>1.13333333333333</v>
      </c>
      <c r="H8" s="28" t="n">
        <v>9</v>
      </c>
      <c r="I8" s="28" t="n">
        <v>3</v>
      </c>
    </row>
    <row r="9" customFormat="false" ht="15" hidden="false" customHeight="true" outlineLevel="0" collapsed="false">
      <c r="A9" s="28" t="n">
        <v>5</v>
      </c>
      <c r="B9" s="7" t="s">
        <v>153</v>
      </c>
      <c r="C9" s="28" t="s">
        <v>146</v>
      </c>
      <c r="D9" s="7" t="s">
        <v>147</v>
      </c>
      <c r="E9" s="29" t="n">
        <v>165</v>
      </c>
      <c r="F9" s="29" t="n">
        <v>350</v>
      </c>
      <c r="G9" s="30" t="n">
        <f aca="false">IFERROR((F9-E9)/E9,0)</f>
        <v>1.12121212121212</v>
      </c>
      <c r="H9" s="28" t="n">
        <v>10</v>
      </c>
      <c r="I9" s="28" t="n">
        <v>10</v>
      </c>
    </row>
    <row r="10" customFormat="false" ht="15" hidden="false" customHeight="true" outlineLevel="0" collapsed="false">
      <c r="A10" s="28" t="n">
        <v>6</v>
      </c>
      <c r="B10" s="7" t="s">
        <v>154</v>
      </c>
      <c r="C10" s="28" t="s">
        <v>12</v>
      </c>
      <c r="D10" s="7" t="s">
        <v>155</v>
      </c>
      <c r="E10" s="29" t="n">
        <v>130</v>
      </c>
      <c r="F10" s="29" t="n">
        <v>260</v>
      </c>
      <c r="G10" s="30" t="n">
        <f aca="false">IFERROR((F10-E10)/E10,0)</f>
        <v>1</v>
      </c>
      <c r="H10" s="28" t="n">
        <v>9</v>
      </c>
      <c r="I10" s="28" t="n">
        <v>4</v>
      </c>
    </row>
    <row r="11" customFormat="false" ht="15" hidden="false" customHeight="true" outlineLevel="0" collapsed="false">
      <c r="A11" s="28" t="n">
        <v>7</v>
      </c>
      <c r="B11" s="7" t="s">
        <v>156</v>
      </c>
      <c r="C11" s="28" t="s">
        <v>12</v>
      </c>
      <c r="D11" s="7" t="s">
        <v>157</v>
      </c>
      <c r="E11" s="29" t="n">
        <v>180</v>
      </c>
      <c r="F11" s="29" t="n">
        <v>340</v>
      </c>
      <c r="G11" s="30" t="n">
        <f aca="false">IFERROR((F11-E11)/E11,0)</f>
        <v>0.888888888888889</v>
      </c>
      <c r="H11" s="28" t="n">
        <v>9</v>
      </c>
      <c r="I11" s="28" t="n">
        <v>4</v>
      </c>
    </row>
    <row r="12" customFormat="false" ht="15" hidden="false" customHeight="true" outlineLevel="0" collapsed="false">
      <c r="A12" s="28" t="n">
        <v>8</v>
      </c>
      <c r="B12" s="7" t="s">
        <v>158</v>
      </c>
      <c r="C12" s="28" t="s">
        <v>48</v>
      </c>
      <c r="D12" s="7" t="s">
        <v>159</v>
      </c>
      <c r="E12" s="29" t="n">
        <v>195</v>
      </c>
      <c r="F12" s="29" t="n">
        <v>450</v>
      </c>
      <c r="G12" s="30" t="n">
        <f aca="false">IFERROR((F12-E12)/E12,0)</f>
        <v>1.30769230769231</v>
      </c>
      <c r="H12" s="28" t="n">
        <v>9</v>
      </c>
      <c r="I12" s="28" t="n">
        <v>5</v>
      </c>
    </row>
    <row r="13" customFormat="false" ht="15" hidden="false" customHeight="true" outlineLevel="0" collapsed="false">
      <c r="A13" s="28" t="n">
        <v>9</v>
      </c>
      <c r="B13" s="7" t="s">
        <v>160</v>
      </c>
      <c r="C13" s="28" t="s">
        <v>44</v>
      </c>
      <c r="D13" s="7" t="s">
        <v>161</v>
      </c>
      <c r="E13" s="29" t="n">
        <v>190</v>
      </c>
      <c r="F13" s="29" t="n">
        <v>450</v>
      </c>
      <c r="G13" s="30" t="n">
        <f aca="false">IFERROR((F13-E13)/E13,0)</f>
        <v>1.36842105263158</v>
      </c>
      <c r="H13" s="28" t="n">
        <v>9</v>
      </c>
      <c r="I13" s="28" t="n">
        <v>5</v>
      </c>
    </row>
    <row r="14" customFormat="false" ht="15" hidden="false" customHeight="true" outlineLevel="0" collapsed="false">
      <c r="A14" s="28" t="n">
        <v>10</v>
      </c>
      <c r="B14" s="7" t="s">
        <v>162</v>
      </c>
      <c r="C14" s="28" t="s">
        <v>40</v>
      </c>
      <c r="D14" s="7" t="s">
        <v>163</v>
      </c>
      <c r="E14" s="29" t="n">
        <v>190</v>
      </c>
      <c r="F14" s="29" t="n">
        <v>380</v>
      </c>
      <c r="G14" s="30" t="n">
        <f aca="false">IFERROR((F14-E14)/E14,0)</f>
        <v>1</v>
      </c>
      <c r="H14" s="28" t="n">
        <v>9</v>
      </c>
      <c r="I14" s="28" t="n">
        <v>5</v>
      </c>
    </row>
    <row r="15" customFormat="false" ht="15" hidden="false" customHeight="true" outlineLevel="0" collapsed="false">
      <c r="A15" s="28" t="n">
        <v>11</v>
      </c>
      <c r="B15" s="7" t="s">
        <v>164</v>
      </c>
      <c r="C15" s="28" t="s">
        <v>24</v>
      </c>
      <c r="D15" s="7" t="s">
        <v>165</v>
      </c>
      <c r="E15" s="29" t="n">
        <v>180</v>
      </c>
      <c r="F15" s="29" t="n">
        <v>420</v>
      </c>
      <c r="G15" s="30" t="n">
        <f aca="false">IFERROR((F15-E15)/E15,0)</f>
        <v>1.33333333333333</v>
      </c>
      <c r="H15" s="28" t="n">
        <v>9</v>
      </c>
      <c r="I15" s="28" t="n">
        <v>7</v>
      </c>
    </row>
    <row r="16" customFormat="false" ht="15" hidden="false" customHeight="true" outlineLevel="0" collapsed="false">
      <c r="A16" s="28" t="n">
        <v>12</v>
      </c>
      <c r="B16" s="7" t="s">
        <v>166</v>
      </c>
      <c r="C16" s="28" t="s">
        <v>24</v>
      </c>
      <c r="D16" s="7" t="s">
        <v>167</v>
      </c>
      <c r="E16" s="29" t="n">
        <v>160</v>
      </c>
      <c r="F16" s="29" t="n">
        <v>280</v>
      </c>
      <c r="G16" s="30" t="n">
        <f aca="false">IFERROR((F16-E16)/E16,0)</f>
        <v>0.75</v>
      </c>
      <c r="H16" s="28" t="n">
        <v>9</v>
      </c>
      <c r="I16" s="28" t="n">
        <v>3</v>
      </c>
    </row>
    <row r="17" customFormat="false" ht="15" hidden="false" customHeight="true" outlineLevel="0" collapsed="false">
      <c r="A17" s="28" t="n">
        <v>13</v>
      </c>
      <c r="B17" s="7" t="s">
        <v>168</v>
      </c>
      <c r="C17" s="28" t="s">
        <v>146</v>
      </c>
      <c r="D17" s="7" t="s">
        <v>147</v>
      </c>
      <c r="E17" s="29" t="n">
        <v>135</v>
      </c>
      <c r="F17" s="29" t="n">
        <v>300</v>
      </c>
      <c r="G17" s="30" t="n">
        <f aca="false">IFERROR((F17-E17)/E17,0)</f>
        <v>1.22222222222222</v>
      </c>
      <c r="H17" s="28" t="n">
        <v>9</v>
      </c>
      <c r="I17" s="28" t="n">
        <v>10</v>
      </c>
    </row>
    <row r="18" customFormat="false" ht="15" hidden="false" customHeight="true" outlineLevel="0" collapsed="false">
      <c r="A18" s="28" t="n">
        <v>14</v>
      </c>
      <c r="B18" s="7" t="s">
        <v>169</v>
      </c>
      <c r="C18" s="28" t="s">
        <v>30</v>
      </c>
      <c r="D18" s="7" t="s">
        <v>170</v>
      </c>
      <c r="E18" s="29" t="n">
        <v>140</v>
      </c>
      <c r="F18" s="29" t="n">
        <v>300</v>
      </c>
      <c r="G18" s="30" t="n">
        <f aca="false">IFERROR((F18-E18)/E18,0)</f>
        <v>1.14285714285714</v>
      </c>
      <c r="H18" s="28" t="n">
        <v>9</v>
      </c>
      <c r="I18" s="28" t="n">
        <v>3</v>
      </c>
    </row>
    <row r="19" customFormat="false" ht="15" hidden="false" customHeight="true" outlineLevel="0" collapsed="false">
      <c r="A19" s="28" t="n">
        <v>15</v>
      </c>
      <c r="B19" s="7" t="s">
        <v>171</v>
      </c>
      <c r="C19" s="28" t="s">
        <v>30</v>
      </c>
      <c r="D19" s="7" t="s">
        <v>172</v>
      </c>
      <c r="E19" s="29" t="n">
        <v>160</v>
      </c>
      <c r="F19" s="29" t="n">
        <v>340</v>
      </c>
      <c r="G19" s="30" t="n">
        <f aca="false">IFERROR((F19-E19)/E19,0)</f>
        <v>1.125</v>
      </c>
      <c r="H19" s="28" t="n">
        <v>9</v>
      </c>
      <c r="I19" s="28" t="n">
        <v>3</v>
      </c>
    </row>
    <row r="20" customFormat="false" ht="15" hidden="false" customHeight="true" outlineLevel="0" collapsed="false">
      <c r="A20" s="28" t="n">
        <v>16</v>
      </c>
      <c r="B20" s="7" t="s">
        <v>173</v>
      </c>
      <c r="C20" s="28" t="s">
        <v>36</v>
      </c>
      <c r="D20" s="7" t="s">
        <v>174</v>
      </c>
      <c r="E20" s="29" t="n">
        <v>175</v>
      </c>
      <c r="F20" s="29" t="n">
        <v>340</v>
      </c>
      <c r="G20" s="30" t="n">
        <f aca="false">IFERROR((F20-E20)/E20,0)</f>
        <v>0.942857142857143</v>
      </c>
      <c r="H20" s="28" t="n">
        <v>9</v>
      </c>
      <c r="I20" s="28" t="n">
        <v>4</v>
      </c>
    </row>
    <row r="21" customFormat="false" ht="15" hidden="false" customHeight="true" outlineLevel="0" collapsed="false">
      <c r="A21" s="28" t="n">
        <v>17</v>
      </c>
      <c r="B21" s="7" t="s">
        <v>175</v>
      </c>
      <c r="C21" s="28" t="s">
        <v>36</v>
      </c>
      <c r="D21" s="7" t="s">
        <v>176</v>
      </c>
      <c r="E21" s="29" t="n">
        <v>180</v>
      </c>
      <c r="F21" s="29" t="n">
        <v>360</v>
      </c>
      <c r="G21" s="30" t="n">
        <f aca="false">IFERROR((F21-E21)/E21,0)</f>
        <v>1</v>
      </c>
      <c r="H21" s="28" t="n">
        <v>9</v>
      </c>
      <c r="I21" s="28" t="n">
        <v>5</v>
      </c>
    </row>
    <row r="22" customFormat="false" ht="15" hidden="false" customHeight="true" outlineLevel="0" collapsed="false">
      <c r="A22" s="28" t="n">
        <v>18</v>
      </c>
      <c r="B22" s="7" t="s">
        <v>177</v>
      </c>
      <c r="C22" s="28" t="s">
        <v>44</v>
      </c>
      <c r="D22" s="7" t="s">
        <v>178</v>
      </c>
      <c r="E22" s="29" t="n">
        <v>165</v>
      </c>
      <c r="F22" s="29" t="n">
        <v>380</v>
      </c>
      <c r="G22" s="30" t="n">
        <f aca="false">IFERROR((F22-E22)/E22,0)</f>
        <v>1.3030303030303</v>
      </c>
      <c r="H22" s="28" t="n">
        <v>9</v>
      </c>
      <c r="I22" s="28" t="n">
        <v>5</v>
      </c>
    </row>
    <row r="23" customFormat="false" ht="15" hidden="false" customHeight="true" outlineLevel="0" collapsed="false">
      <c r="A23" s="28" t="n">
        <v>19</v>
      </c>
      <c r="B23" s="7" t="s">
        <v>179</v>
      </c>
      <c r="C23" s="28" t="s">
        <v>12</v>
      </c>
      <c r="D23" s="7" t="s">
        <v>180</v>
      </c>
      <c r="E23" s="29" t="n">
        <v>200</v>
      </c>
      <c r="F23" s="29" t="n">
        <v>550</v>
      </c>
      <c r="G23" s="30" t="n">
        <f aca="false">IFERROR((F23-E23)/E23,0)</f>
        <v>1.75</v>
      </c>
      <c r="H23" s="28" t="n">
        <v>9</v>
      </c>
      <c r="I23" s="28" t="n">
        <v>7</v>
      </c>
    </row>
    <row r="24" customFormat="false" ht="15" hidden="false" customHeight="true" outlineLevel="0" collapsed="false">
      <c r="A24" s="28" t="n">
        <v>20</v>
      </c>
      <c r="B24" s="7" t="s">
        <v>181</v>
      </c>
      <c r="C24" s="28" t="s">
        <v>146</v>
      </c>
      <c r="D24" s="7" t="s">
        <v>182</v>
      </c>
      <c r="E24" s="29" t="n">
        <v>125</v>
      </c>
      <c r="F24" s="29" t="n">
        <v>260</v>
      </c>
      <c r="G24" s="30" t="n">
        <f aca="false">IFERROR((F24-E24)/E24,0)</f>
        <v>1.08</v>
      </c>
      <c r="H24" s="28" t="n">
        <v>9</v>
      </c>
      <c r="I24" s="28" t="n">
        <v>7</v>
      </c>
    </row>
    <row r="25" customFormat="false" ht="15" hidden="false" customHeight="true" outlineLevel="0" collapsed="false">
      <c r="A25" s="28" t="n">
        <v>21</v>
      </c>
      <c r="B25" s="7" t="s">
        <v>183</v>
      </c>
      <c r="C25" s="28" t="s">
        <v>56</v>
      </c>
      <c r="D25" s="7" t="s">
        <v>184</v>
      </c>
      <c r="E25" s="29" t="n">
        <v>165</v>
      </c>
      <c r="F25" s="29" t="n">
        <v>340</v>
      </c>
      <c r="G25" s="30" t="n">
        <f aca="false">IFERROR((F25-E25)/E25,0)</f>
        <v>1.06060606060606</v>
      </c>
      <c r="H25" s="28" t="n">
        <v>9</v>
      </c>
      <c r="I25" s="28" t="n">
        <v>4</v>
      </c>
    </row>
    <row r="26" customFormat="false" ht="15" hidden="false" customHeight="true" outlineLevel="0" collapsed="false">
      <c r="A26" s="28" t="n">
        <v>22</v>
      </c>
      <c r="B26" s="7" t="s">
        <v>185</v>
      </c>
      <c r="C26" s="28" t="s">
        <v>12</v>
      </c>
      <c r="D26" s="7" t="s">
        <v>150</v>
      </c>
      <c r="E26" s="29" t="n">
        <v>150</v>
      </c>
      <c r="F26" s="29" t="n">
        <v>280</v>
      </c>
      <c r="G26" s="30" t="n">
        <f aca="false">IFERROR((F26-E26)/E26,0)</f>
        <v>0.866666666666667</v>
      </c>
      <c r="H26" s="28" t="n">
        <v>8</v>
      </c>
      <c r="I26" s="28" t="n">
        <v>4</v>
      </c>
    </row>
    <row r="27" customFormat="false" ht="15" hidden="false" customHeight="true" outlineLevel="0" collapsed="false">
      <c r="A27" s="28" t="n">
        <v>23</v>
      </c>
      <c r="B27" s="7" t="s">
        <v>186</v>
      </c>
      <c r="C27" s="28" t="s">
        <v>30</v>
      </c>
      <c r="D27" s="7" t="s">
        <v>187</v>
      </c>
      <c r="E27" s="29" t="n">
        <v>195</v>
      </c>
      <c r="F27" s="29" t="n">
        <v>400</v>
      </c>
      <c r="G27" s="30" t="n">
        <f aca="false">IFERROR((F27-E27)/E27,0)</f>
        <v>1.05128205128205</v>
      </c>
      <c r="H27" s="28" t="n">
        <v>9</v>
      </c>
      <c r="I27" s="28" t="n">
        <v>3</v>
      </c>
    </row>
    <row r="28" customFormat="false" ht="15" hidden="false" customHeight="true" outlineLevel="0" collapsed="false">
      <c r="A28" s="28" t="n">
        <v>24</v>
      </c>
      <c r="B28" s="7" t="s">
        <v>188</v>
      </c>
      <c r="C28" s="28" t="s">
        <v>51</v>
      </c>
      <c r="D28" s="7" t="s">
        <v>189</v>
      </c>
      <c r="E28" s="29" t="n">
        <v>135</v>
      </c>
      <c r="F28" s="29" t="n">
        <v>280</v>
      </c>
      <c r="G28" s="30" t="n">
        <f aca="false">IFERROR((F28-E28)/E28,0)</f>
        <v>1.07407407407407</v>
      </c>
      <c r="H28" s="28" t="n">
        <v>8</v>
      </c>
      <c r="I28" s="28" t="n">
        <v>5</v>
      </c>
    </row>
    <row r="29" customFormat="false" ht="15" hidden="false" customHeight="true" outlineLevel="0" collapsed="false">
      <c r="A29" s="28" t="n">
        <v>25</v>
      </c>
      <c r="B29" s="7" t="s">
        <v>190</v>
      </c>
      <c r="C29" s="28" t="s">
        <v>40</v>
      </c>
      <c r="D29" s="7" t="s">
        <v>191</v>
      </c>
      <c r="E29" s="29" t="n">
        <v>125</v>
      </c>
      <c r="F29" s="29" t="n">
        <v>240</v>
      </c>
      <c r="G29" s="30" t="n">
        <f aca="false">IFERROR((F29-E29)/E29,0)</f>
        <v>0.92</v>
      </c>
      <c r="H29" s="28" t="n">
        <v>8</v>
      </c>
      <c r="I29" s="28" t="n">
        <v>4</v>
      </c>
    </row>
    <row r="31" customFormat="false" ht="15" hidden="false" customHeight="true" outlineLevel="0" collapsed="false">
      <c r="B31" s="31" t="s">
        <v>192</v>
      </c>
      <c r="E31" s="32" t="n">
        <f aca="false">SUM(E5:E29)</f>
        <v>4165</v>
      </c>
      <c r="F31" s="32" t="n">
        <f aca="false">SUM(F5:F29)</f>
        <v>8780</v>
      </c>
      <c r="G31" s="33" t="n">
        <f aca="false">IFERROR((F31-E31)/E31,0)</f>
        <v>1.10804321728691</v>
      </c>
      <c r="H31" s="34" t="n">
        <f aca="false">AVERAGE(H5:H29)</f>
        <v>9</v>
      </c>
    </row>
  </sheetData>
  <mergeCells count="2">
    <mergeCell ref="A1:I1"/>
    <mergeCell ref="A2:I2"/>
  </mergeCells>
  <conditionalFormatting sqref="H5:H29">
    <cfRule type="colorScale" priority="2">
      <colorScale>
        <cfvo type="num" val="5"/>
        <cfvo type="num" val="7"/>
        <cfvo type="num" val="10"/>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4" min="3" style="1" width="22"/>
    <col collapsed="false" customWidth="true" hidden="false" outlineLevel="0" max="5" min="5" style="1" width="11"/>
    <col collapsed="false" customWidth="true" hidden="false" outlineLevel="0" max="7" min="6" style="1" width="12"/>
    <col collapsed="false" customWidth="true" hidden="false" outlineLevel="0" max="8" min="8" style="1" width="9"/>
    <col collapsed="false" customWidth="true" hidden="false" outlineLevel="0" max="9" min="9" style="1" width="12"/>
    <col collapsed="false" customWidth="true" hidden="false" outlineLevel="0" max="11" min="10" style="1" width="10"/>
    <col collapsed="false" customWidth="true" hidden="false" outlineLevel="0" max="12" min="12" style="1" width="11"/>
    <col collapsed="false" customWidth="true" hidden="false" outlineLevel="0" max="13" min="13" style="1" width="8"/>
    <col collapsed="false" customWidth="true" hidden="false" outlineLevel="0" max="14" min="14" style="1" width="22"/>
    <col collapsed="false" customWidth="true" hidden="false" outlineLevel="0" max="15" min="15" style="1" width="45"/>
  </cols>
  <sheetData>
    <row r="1" customFormat="false" ht="19.5" hidden="false" customHeight="true" outlineLevel="0" collapsed="false">
      <c r="A1" s="2" t="s">
        <v>193</v>
      </c>
      <c r="B1" s="2"/>
      <c r="C1" s="2"/>
      <c r="D1" s="2"/>
      <c r="E1" s="2"/>
      <c r="F1" s="2"/>
      <c r="G1" s="2"/>
      <c r="H1" s="2"/>
      <c r="I1" s="2"/>
      <c r="J1" s="2"/>
      <c r="K1" s="2"/>
      <c r="L1" s="2"/>
      <c r="M1" s="2"/>
      <c r="N1" s="2"/>
      <c r="O1" s="2"/>
    </row>
    <row r="2" customFormat="false" ht="15" hidden="false" customHeight="true" outlineLevel="0" collapsed="false">
      <c r="A2" s="3" t="s">
        <v>194</v>
      </c>
      <c r="B2" s="3"/>
      <c r="C2" s="3"/>
      <c r="D2" s="3"/>
      <c r="E2" s="3"/>
      <c r="F2" s="3"/>
      <c r="G2" s="3"/>
      <c r="H2" s="3"/>
      <c r="I2" s="3"/>
      <c r="J2" s="3"/>
      <c r="K2" s="3"/>
      <c r="L2" s="3"/>
      <c r="M2" s="3"/>
      <c r="N2" s="3"/>
      <c r="O2" s="3"/>
    </row>
    <row r="4" customFormat="false" ht="26.25" hidden="false" customHeight="true" outlineLevel="0" collapsed="false">
      <c r="A4" s="5" t="s">
        <v>92</v>
      </c>
      <c r="B4" s="5" t="s">
        <v>195</v>
      </c>
      <c r="C4" s="5" t="s">
        <v>139</v>
      </c>
      <c r="D4" s="5" t="s">
        <v>196</v>
      </c>
      <c r="E4" s="5" t="s">
        <v>197</v>
      </c>
      <c r="F4" s="5" t="s">
        <v>198</v>
      </c>
      <c r="G4" s="5" t="s">
        <v>199</v>
      </c>
      <c r="H4" s="5" t="s">
        <v>142</v>
      </c>
      <c r="I4" s="5" t="s">
        <v>200</v>
      </c>
      <c r="J4" s="5" t="s">
        <v>201</v>
      </c>
      <c r="K4" s="5" t="s">
        <v>202</v>
      </c>
      <c r="L4" s="5" t="s">
        <v>203</v>
      </c>
      <c r="M4" s="5" t="s">
        <v>144</v>
      </c>
      <c r="N4" s="5" t="s">
        <v>204</v>
      </c>
      <c r="O4" s="5" t="s">
        <v>205</v>
      </c>
    </row>
    <row r="5" customFormat="false" ht="23.25" hidden="false" customHeight="true" outlineLevel="0" collapsed="false">
      <c r="A5" s="28" t="n">
        <v>1</v>
      </c>
      <c r="B5" s="7" t="s">
        <v>149</v>
      </c>
      <c r="C5" s="7" t="s">
        <v>150</v>
      </c>
      <c r="D5" s="7" t="s">
        <v>206</v>
      </c>
      <c r="E5" s="28" t="s">
        <v>207</v>
      </c>
      <c r="F5" s="29" t="n">
        <v>190</v>
      </c>
      <c r="G5" s="29" t="n">
        <v>380</v>
      </c>
      <c r="H5" s="30" t="n">
        <f aca="false">IFERROR((G5-F5)/F5,0)</f>
        <v>1</v>
      </c>
      <c r="I5" s="28" t="s">
        <v>208</v>
      </c>
      <c r="J5" s="28" t="s">
        <v>209</v>
      </c>
      <c r="K5" s="28" t="n">
        <v>8</v>
      </c>
      <c r="L5" s="28" t="n">
        <v>9</v>
      </c>
      <c r="M5" s="28" t="n">
        <v>5</v>
      </c>
      <c r="N5" s="7" t="s">
        <v>210</v>
      </c>
      <c r="O5" s="7" t="s">
        <v>211</v>
      </c>
    </row>
    <row r="6" customFormat="false" ht="34.5" hidden="false" customHeight="true" outlineLevel="0" collapsed="false">
      <c r="A6" s="28" t="n">
        <v>2</v>
      </c>
      <c r="B6" s="7" t="s">
        <v>151</v>
      </c>
      <c r="C6" s="7" t="s">
        <v>152</v>
      </c>
      <c r="D6" s="7" t="s">
        <v>212</v>
      </c>
      <c r="E6" s="28" t="s">
        <v>207</v>
      </c>
      <c r="F6" s="29" t="n">
        <v>150</v>
      </c>
      <c r="G6" s="29" t="n">
        <v>320</v>
      </c>
      <c r="H6" s="30" t="n">
        <f aca="false">IFERROR((G6-F6)/F6,0)</f>
        <v>1.13333333333333</v>
      </c>
      <c r="I6" s="28" t="s">
        <v>213</v>
      </c>
      <c r="J6" s="28" t="s">
        <v>214</v>
      </c>
      <c r="K6" s="28" t="n">
        <v>9</v>
      </c>
      <c r="L6" s="28" t="n">
        <v>9</v>
      </c>
      <c r="M6" s="28" t="n">
        <v>3</v>
      </c>
      <c r="N6" s="7" t="s">
        <v>215</v>
      </c>
      <c r="O6" s="7" t="s">
        <v>216</v>
      </c>
    </row>
    <row r="7" customFormat="false" ht="23.25" hidden="false" customHeight="true" outlineLevel="0" collapsed="false">
      <c r="A7" s="28" t="n">
        <v>3</v>
      </c>
      <c r="B7" s="7" t="s">
        <v>217</v>
      </c>
      <c r="C7" s="7" t="s">
        <v>155</v>
      </c>
      <c r="D7" s="7" t="s">
        <v>218</v>
      </c>
      <c r="E7" s="28" t="s">
        <v>207</v>
      </c>
      <c r="F7" s="29" t="n">
        <v>130</v>
      </c>
      <c r="G7" s="29" t="n">
        <v>260</v>
      </c>
      <c r="H7" s="30" t="n">
        <f aca="false">IFERROR((G7-F7)/F7,0)</f>
        <v>1</v>
      </c>
      <c r="I7" s="28" t="s">
        <v>208</v>
      </c>
      <c r="J7" s="28" t="s">
        <v>219</v>
      </c>
      <c r="K7" s="28" t="n">
        <v>8</v>
      </c>
      <c r="L7" s="28" t="n">
        <v>9</v>
      </c>
      <c r="M7" s="28" t="n">
        <v>4</v>
      </c>
      <c r="N7" s="7" t="s">
        <v>220</v>
      </c>
      <c r="O7" s="7" t="s">
        <v>221</v>
      </c>
    </row>
    <row r="8" customFormat="false" ht="23.25" hidden="false" customHeight="true" outlineLevel="0" collapsed="false">
      <c r="A8" s="28" t="n">
        <v>4</v>
      </c>
      <c r="B8" s="7" t="s">
        <v>222</v>
      </c>
      <c r="C8" s="7" t="s">
        <v>157</v>
      </c>
      <c r="D8" s="7" t="s">
        <v>218</v>
      </c>
      <c r="E8" s="28" t="s">
        <v>207</v>
      </c>
      <c r="F8" s="29" t="n">
        <v>180</v>
      </c>
      <c r="G8" s="29" t="n">
        <v>340</v>
      </c>
      <c r="H8" s="30" t="n">
        <f aca="false">IFERROR((G8-F8)/F8,0)</f>
        <v>0.888888888888889</v>
      </c>
      <c r="I8" s="28" t="s">
        <v>208</v>
      </c>
      <c r="J8" s="28" t="s">
        <v>219</v>
      </c>
      <c r="K8" s="28" t="n">
        <v>7</v>
      </c>
      <c r="L8" s="28" t="n">
        <v>9</v>
      </c>
      <c r="M8" s="28" t="n">
        <v>4</v>
      </c>
      <c r="N8" s="7" t="s">
        <v>223</v>
      </c>
      <c r="O8" s="7" t="s">
        <v>224</v>
      </c>
    </row>
    <row r="9" customFormat="false" ht="15" hidden="false" customHeight="true" outlineLevel="0" collapsed="false">
      <c r="A9" s="28" t="n">
        <v>5</v>
      </c>
      <c r="B9" s="7" t="s">
        <v>179</v>
      </c>
      <c r="C9" s="7" t="s">
        <v>180</v>
      </c>
      <c r="D9" s="7" t="s">
        <v>225</v>
      </c>
      <c r="E9" s="28" t="s">
        <v>207</v>
      </c>
      <c r="F9" s="29" t="n">
        <v>200</v>
      </c>
      <c r="G9" s="29" t="n">
        <v>550</v>
      </c>
      <c r="H9" s="30" t="n">
        <f aca="false">IFERROR((G9-F9)/F9,0)</f>
        <v>1.75</v>
      </c>
      <c r="I9" s="28" t="s">
        <v>226</v>
      </c>
      <c r="J9" s="28" t="s">
        <v>219</v>
      </c>
      <c r="K9" s="28" t="n">
        <v>6</v>
      </c>
      <c r="L9" s="28" t="n">
        <v>9</v>
      </c>
      <c r="M9" s="28" t="n">
        <v>7</v>
      </c>
      <c r="N9" s="7" t="s">
        <v>227</v>
      </c>
      <c r="O9" s="7" t="s">
        <v>228</v>
      </c>
    </row>
    <row r="10" customFormat="false" ht="34.5" hidden="false" customHeight="true" outlineLevel="0" collapsed="false">
      <c r="A10" s="28" t="n">
        <v>6</v>
      </c>
      <c r="B10" s="7" t="s">
        <v>229</v>
      </c>
      <c r="C10" s="7" t="s">
        <v>152</v>
      </c>
      <c r="D10" s="7" t="s">
        <v>212</v>
      </c>
      <c r="E10" s="28" t="s">
        <v>207</v>
      </c>
      <c r="F10" s="29" t="n">
        <v>105</v>
      </c>
      <c r="G10" s="29" t="n">
        <v>220</v>
      </c>
      <c r="H10" s="30" t="n">
        <f aca="false">IFERROR((G10-F10)/F10,0)</f>
        <v>1.0952380952381</v>
      </c>
      <c r="I10" s="28" t="s">
        <v>213</v>
      </c>
      <c r="J10" s="28" t="s">
        <v>214</v>
      </c>
      <c r="K10" s="28" t="n">
        <v>7</v>
      </c>
      <c r="L10" s="28" t="n">
        <v>8</v>
      </c>
      <c r="M10" s="28" t="n">
        <v>3</v>
      </c>
      <c r="N10" s="7" t="s">
        <v>215</v>
      </c>
      <c r="O10" s="7" t="s">
        <v>230</v>
      </c>
    </row>
    <row r="11" customFormat="false" ht="15" hidden="false" customHeight="true" outlineLevel="0" collapsed="false">
      <c r="A11" s="28" t="n">
        <v>7</v>
      </c>
      <c r="B11" s="7" t="s">
        <v>231</v>
      </c>
      <c r="C11" s="7" t="s">
        <v>232</v>
      </c>
      <c r="D11" s="7" t="s">
        <v>233</v>
      </c>
      <c r="E11" s="28" t="s">
        <v>207</v>
      </c>
      <c r="F11" s="29" t="n">
        <v>160</v>
      </c>
      <c r="G11" s="29" t="n">
        <v>340</v>
      </c>
      <c r="H11" s="30" t="n">
        <f aca="false">IFERROR((G11-F11)/F11,0)</f>
        <v>1.125</v>
      </c>
      <c r="I11" s="28" t="s">
        <v>226</v>
      </c>
      <c r="J11" s="28" t="s">
        <v>219</v>
      </c>
      <c r="K11" s="28" t="n">
        <v>6</v>
      </c>
      <c r="L11" s="28" t="n">
        <v>8</v>
      </c>
      <c r="M11" s="28" t="n">
        <v>6</v>
      </c>
      <c r="N11" s="7" t="s">
        <v>223</v>
      </c>
      <c r="O11" s="7" t="s">
        <v>234</v>
      </c>
    </row>
    <row r="12" customFormat="false" ht="23.25" hidden="false" customHeight="true" outlineLevel="0" collapsed="false">
      <c r="A12" s="28" t="n">
        <v>8</v>
      </c>
      <c r="B12" s="7" t="s">
        <v>235</v>
      </c>
      <c r="C12" s="7" t="s">
        <v>236</v>
      </c>
      <c r="D12" s="7" t="s">
        <v>237</v>
      </c>
      <c r="E12" s="28" t="s">
        <v>207</v>
      </c>
      <c r="F12" s="29" t="n">
        <v>155</v>
      </c>
      <c r="G12" s="29" t="n">
        <v>310</v>
      </c>
      <c r="H12" s="30" t="n">
        <f aca="false">IFERROR((G12-F12)/F12,0)</f>
        <v>1</v>
      </c>
      <c r="I12" s="28" t="s">
        <v>208</v>
      </c>
      <c r="J12" s="28" t="s">
        <v>219</v>
      </c>
      <c r="K12" s="28" t="n">
        <v>7</v>
      </c>
      <c r="L12" s="28" t="n">
        <v>8</v>
      </c>
      <c r="M12" s="28" t="n">
        <v>4</v>
      </c>
      <c r="N12" s="7" t="s">
        <v>238</v>
      </c>
      <c r="O12" s="7" t="s">
        <v>239</v>
      </c>
    </row>
    <row r="13" customFormat="false" ht="23.25" hidden="false" customHeight="true" outlineLevel="0" collapsed="false">
      <c r="A13" s="28" t="n">
        <v>9</v>
      </c>
      <c r="B13" s="7" t="s">
        <v>240</v>
      </c>
      <c r="C13" s="7" t="s">
        <v>241</v>
      </c>
      <c r="D13" s="7" t="s">
        <v>242</v>
      </c>
      <c r="E13" s="28" t="s">
        <v>207</v>
      </c>
      <c r="F13" s="29" t="n">
        <v>70</v>
      </c>
      <c r="G13" s="29" t="n">
        <v>150</v>
      </c>
      <c r="H13" s="30" t="n">
        <f aca="false">IFERROR((G13-F13)/F13,0)</f>
        <v>1.14285714285714</v>
      </c>
      <c r="I13" s="28" t="s">
        <v>243</v>
      </c>
      <c r="J13" s="28" t="s">
        <v>209</v>
      </c>
      <c r="K13" s="28" t="n">
        <v>7</v>
      </c>
      <c r="L13" s="28" t="n">
        <v>8</v>
      </c>
      <c r="M13" s="28" t="n">
        <v>3</v>
      </c>
      <c r="N13" s="7" t="s">
        <v>244</v>
      </c>
      <c r="O13" s="7" t="s">
        <v>245</v>
      </c>
    </row>
    <row r="14" customFormat="false" ht="23.25" hidden="false" customHeight="true" outlineLevel="0" collapsed="false">
      <c r="A14" s="28" t="n">
        <v>10</v>
      </c>
      <c r="B14" s="7" t="s">
        <v>246</v>
      </c>
      <c r="C14" s="7" t="s">
        <v>247</v>
      </c>
      <c r="D14" s="7" t="s">
        <v>248</v>
      </c>
      <c r="E14" s="28" t="s">
        <v>207</v>
      </c>
      <c r="F14" s="29" t="n">
        <v>100</v>
      </c>
      <c r="G14" s="29" t="n">
        <v>210</v>
      </c>
      <c r="H14" s="30" t="n">
        <f aca="false">IFERROR((G14-F14)/F14,0)</f>
        <v>1.1</v>
      </c>
      <c r="I14" s="28" t="s">
        <v>20</v>
      </c>
      <c r="J14" s="28" t="s">
        <v>219</v>
      </c>
      <c r="K14" s="28" t="n">
        <v>7</v>
      </c>
      <c r="L14" s="28" t="n">
        <v>8</v>
      </c>
      <c r="M14" s="28" t="n">
        <v>4</v>
      </c>
      <c r="N14" s="7" t="s">
        <v>238</v>
      </c>
      <c r="O14" s="7" t="s">
        <v>249</v>
      </c>
    </row>
    <row r="15" customFormat="false" ht="23.25" hidden="false" customHeight="true" outlineLevel="0" collapsed="false">
      <c r="A15" s="28" t="n">
        <v>11</v>
      </c>
      <c r="B15" s="7" t="s">
        <v>250</v>
      </c>
      <c r="C15" s="7" t="s">
        <v>251</v>
      </c>
      <c r="D15" s="7" t="s">
        <v>242</v>
      </c>
      <c r="E15" s="28" t="s">
        <v>207</v>
      </c>
      <c r="F15" s="29" t="n">
        <v>125</v>
      </c>
      <c r="G15" s="29" t="n">
        <v>230</v>
      </c>
      <c r="H15" s="30" t="n">
        <f aca="false">IFERROR((G15-F15)/F15,0)</f>
        <v>0.84</v>
      </c>
      <c r="I15" s="28" t="s">
        <v>20</v>
      </c>
      <c r="J15" s="28" t="s">
        <v>219</v>
      </c>
      <c r="K15" s="28" t="n">
        <v>7</v>
      </c>
      <c r="L15" s="28" t="n">
        <v>8</v>
      </c>
      <c r="M15" s="28" t="n">
        <v>4</v>
      </c>
      <c r="N15" s="7" t="s">
        <v>244</v>
      </c>
      <c r="O15" s="7" t="s">
        <v>252</v>
      </c>
    </row>
    <row r="16" customFormat="false" ht="15" hidden="false" customHeight="true" outlineLevel="0" collapsed="false">
      <c r="A16" s="28" t="n">
        <v>12</v>
      </c>
      <c r="B16" s="7" t="s">
        <v>253</v>
      </c>
      <c r="C16" s="7" t="s">
        <v>254</v>
      </c>
      <c r="D16" s="7" t="s">
        <v>255</v>
      </c>
      <c r="E16" s="28" t="s">
        <v>256</v>
      </c>
      <c r="F16" s="29" t="n">
        <v>180</v>
      </c>
      <c r="G16" s="29" t="n">
        <v>380</v>
      </c>
      <c r="H16" s="30" t="n">
        <f aca="false">IFERROR((G16-F16)/F16,0)</f>
        <v>1.11111111111111</v>
      </c>
      <c r="I16" s="28" t="s">
        <v>226</v>
      </c>
      <c r="J16" s="28" t="s">
        <v>219</v>
      </c>
      <c r="K16" s="28" t="n">
        <v>7</v>
      </c>
      <c r="L16" s="28" t="n">
        <v>8</v>
      </c>
      <c r="M16" s="28" t="n">
        <v>7</v>
      </c>
      <c r="N16" s="7" t="s">
        <v>227</v>
      </c>
      <c r="O16" s="7" t="s">
        <v>257</v>
      </c>
    </row>
    <row r="17" customFormat="false" ht="23.25" hidden="false" customHeight="true" outlineLevel="0" collapsed="false">
      <c r="A17" s="28" t="n">
        <v>13</v>
      </c>
      <c r="B17" s="7" t="s">
        <v>185</v>
      </c>
      <c r="C17" s="7" t="s">
        <v>150</v>
      </c>
      <c r="D17" s="7" t="s">
        <v>218</v>
      </c>
      <c r="E17" s="28" t="s">
        <v>207</v>
      </c>
      <c r="F17" s="29" t="n">
        <v>150</v>
      </c>
      <c r="G17" s="29" t="n">
        <v>280</v>
      </c>
      <c r="H17" s="30" t="n">
        <f aca="false">IFERROR((G17-F17)/F17,0)</f>
        <v>0.866666666666667</v>
      </c>
      <c r="I17" s="28" t="s">
        <v>208</v>
      </c>
      <c r="J17" s="28" t="s">
        <v>219</v>
      </c>
      <c r="K17" s="28" t="n">
        <v>8</v>
      </c>
      <c r="L17" s="28" t="n">
        <v>8</v>
      </c>
      <c r="M17" s="28" t="n">
        <v>4</v>
      </c>
      <c r="N17" s="7" t="s">
        <v>220</v>
      </c>
      <c r="O17" s="7" t="s">
        <v>258</v>
      </c>
    </row>
    <row r="18" customFormat="false" ht="23.25" hidden="false" customHeight="true" outlineLevel="0" collapsed="false">
      <c r="A18" s="28" t="n">
        <v>14</v>
      </c>
      <c r="B18" s="7" t="s">
        <v>259</v>
      </c>
      <c r="C18" s="7" t="s">
        <v>254</v>
      </c>
      <c r="D18" s="7" t="s">
        <v>260</v>
      </c>
      <c r="E18" s="28" t="s">
        <v>261</v>
      </c>
      <c r="F18" s="29" t="n">
        <v>130</v>
      </c>
      <c r="G18" s="29" t="n">
        <v>260</v>
      </c>
      <c r="H18" s="30" t="n">
        <f aca="false">IFERROR((G18-F18)/F18,0)</f>
        <v>1</v>
      </c>
      <c r="I18" s="28" t="s">
        <v>226</v>
      </c>
      <c r="J18" s="28" t="s">
        <v>219</v>
      </c>
      <c r="K18" s="28" t="n">
        <v>6</v>
      </c>
      <c r="L18" s="28" t="n">
        <v>7</v>
      </c>
      <c r="M18" s="28" t="n">
        <v>5</v>
      </c>
      <c r="N18" s="7" t="s">
        <v>262</v>
      </c>
      <c r="O18" s="7" t="s">
        <v>263</v>
      </c>
    </row>
    <row r="19" customFormat="false" ht="23.25" hidden="false" customHeight="true" outlineLevel="0" collapsed="false">
      <c r="A19" s="28" t="n">
        <v>15</v>
      </c>
      <c r="B19" s="7" t="s">
        <v>264</v>
      </c>
      <c r="C19" s="7" t="s">
        <v>265</v>
      </c>
      <c r="D19" s="7" t="s">
        <v>266</v>
      </c>
      <c r="E19" s="28" t="s">
        <v>207</v>
      </c>
      <c r="F19" s="29" t="n">
        <v>110</v>
      </c>
      <c r="G19" s="29" t="n">
        <v>230</v>
      </c>
      <c r="H19" s="30" t="n">
        <f aca="false">IFERROR((G19-F19)/F19,0)</f>
        <v>1.09090909090909</v>
      </c>
      <c r="I19" s="28" t="s">
        <v>20</v>
      </c>
      <c r="J19" s="28" t="s">
        <v>209</v>
      </c>
      <c r="K19" s="28" t="n">
        <v>7</v>
      </c>
      <c r="L19" s="28" t="n">
        <v>7</v>
      </c>
      <c r="M19" s="28" t="n">
        <v>4</v>
      </c>
      <c r="N19" s="7" t="s">
        <v>267</v>
      </c>
      <c r="O19" s="7" t="s">
        <v>268</v>
      </c>
    </row>
    <row r="21" customFormat="false" ht="15" hidden="false" customHeight="true" outlineLevel="0" collapsed="false">
      <c r="B21" s="31" t="s">
        <v>269</v>
      </c>
      <c r="F21" s="32" t="n">
        <f aca="false">AVERAGE(F5:F19)</f>
        <v>142.333333333333</v>
      </c>
      <c r="G21" s="32" t="n">
        <f aca="false">AVERAGE(G5:G19)</f>
        <v>297.333333333333</v>
      </c>
      <c r="H21" s="33" t="n">
        <f aca="false">AVERAGE(H5:H19)</f>
        <v>1.07626695526696</v>
      </c>
      <c r="K21" s="34" t="n">
        <f aca="false">AVERAGE(K5:K19)</f>
        <v>7.13333333333333</v>
      </c>
      <c r="L21" s="34" t="n">
        <f aca="false">AVERAGE(L5:L19)</f>
        <v>8.2</v>
      </c>
    </row>
  </sheetData>
  <mergeCells count="2">
    <mergeCell ref="A1:O1"/>
    <mergeCell ref="A2:O2"/>
  </mergeCells>
  <conditionalFormatting sqref="L5:L19">
    <cfRule type="colorScale" priority="2">
      <colorScale>
        <cfvo type="num" val="1"/>
        <cfvo type="num" val="5"/>
        <cfvo type="num" val="10"/>
        <color rgb="FFF8696B"/>
        <color rgb="FFFFEB84"/>
        <color rgb="FF63BE7B"/>
      </colorScale>
    </cfRule>
  </conditionalFormatting>
  <conditionalFormatting sqref="H5:H19">
    <cfRule type="colorScale" priority="3">
      <colorScale>
        <cfvo type="num" val="-0.2"/>
        <cfvo type="num" val="0.5"/>
        <cfvo type="num" val="2"/>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4" min="3" style="1" width="22"/>
    <col collapsed="false" customWidth="true" hidden="false" outlineLevel="0" max="5" min="5" style="1" width="11"/>
    <col collapsed="false" customWidth="true" hidden="false" outlineLevel="0" max="7" min="6" style="1" width="12"/>
    <col collapsed="false" customWidth="true" hidden="false" outlineLevel="0" max="8" min="8" style="1" width="9"/>
    <col collapsed="false" customWidth="true" hidden="false" outlineLevel="0" max="9" min="9" style="1" width="12"/>
    <col collapsed="false" customWidth="true" hidden="false" outlineLevel="0" max="11" min="10" style="1" width="10"/>
    <col collapsed="false" customWidth="true" hidden="false" outlineLevel="0" max="12" min="12" style="1" width="11"/>
    <col collapsed="false" customWidth="true" hidden="false" outlineLevel="0" max="13" min="13" style="1" width="8"/>
    <col collapsed="false" customWidth="true" hidden="false" outlineLevel="0" max="14" min="14" style="1" width="22"/>
    <col collapsed="false" customWidth="true" hidden="false" outlineLevel="0" max="15" min="15" style="1" width="45"/>
  </cols>
  <sheetData>
    <row r="1" customFormat="false" ht="19.5" hidden="false" customHeight="true" outlineLevel="0" collapsed="false">
      <c r="A1" s="2" t="s">
        <v>270</v>
      </c>
      <c r="B1" s="2"/>
      <c r="C1" s="2"/>
      <c r="D1" s="2"/>
      <c r="E1" s="2"/>
      <c r="F1" s="2"/>
      <c r="G1" s="2"/>
      <c r="H1" s="2"/>
      <c r="I1" s="2"/>
      <c r="J1" s="2"/>
      <c r="K1" s="2"/>
      <c r="L1" s="2"/>
      <c r="M1" s="2"/>
      <c r="N1" s="2"/>
      <c r="O1" s="2"/>
    </row>
    <row r="2" customFormat="false" ht="15" hidden="false" customHeight="true" outlineLevel="0" collapsed="false">
      <c r="A2" s="3" t="s">
        <v>271</v>
      </c>
      <c r="B2" s="3"/>
      <c r="C2" s="3"/>
      <c r="D2" s="3"/>
      <c r="E2" s="3"/>
      <c r="F2" s="3"/>
      <c r="G2" s="3"/>
      <c r="H2" s="3"/>
      <c r="I2" s="3"/>
      <c r="J2" s="3"/>
      <c r="K2" s="3"/>
      <c r="L2" s="3"/>
      <c r="M2" s="3"/>
      <c r="N2" s="3"/>
      <c r="O2" s="3"/>
    </row>
    <row r="4" customFormat="false" ht="26.25" hidden="false" customHeight="true" outlineLevel="0" collapsed="false">
      <c r="A4" s="5" t="s">
        <v>92</v>
      </c>
      <c r="B4" s="5" t="s">
        <v>195</v>
      </c>
      <c r="C4" s="5" t="s">
        <v>139</v>
      </c>
      <c r="D4" s="5" t="s">
        <v>196</v>
      </c>
      <c r="E4" s="5" t="s">
        <v>197</v>
      </c>
      <c r="F4" s="5" t="s">
        <v>198</v>
      </c>
      <c r="G4" s="5" t="s">
        <v>199</v>
      </c>
      <c r="H4" s="5" t="s">
        <v>142</v>
      </c>
      <c r="I4" s="5" t="s">
        <v>200</v>
      </c>
      <c r="J4" s="5" t="s">
        <v>201</v>
      </c>
      <c r="K4" s="5" t="s">
        <v>202</v>
      </c>
      <c r="L4" s="5" t="s">
        <v>203</v>
      </c>
      <c r="M4" s="5" t="s">
        <v>144</v>
      </c>
      <c r="N4" s="5" t="s">
        <v>204</v>
      </c>
      <c r="O4" s="5" t="s">
        <v>205</v>
      </c>
    </row>
    <row r="5" customFormat="false" ht="34.5" hidden="false" customHeight="true" outlineLevel="0" collapsed="false">
      <c r="A5" s="28" t="n">
        <v>1</v>
      </c>
      <c r="B5" s="7" t="s">
        <v>145</v>
      </c>
      <c r="C5" s="7" t="s">
        <v>272</v>
      </c>
      <c r="D5" s="7" t="s">
        <v>273</v>
      </c>
      <c r="E5" s="28" t="s">
        <v>274</v>
      </c>
      <c r="F5" s="29" t="n">
        <v>200</v>
      </c>
      <c r="G5" s="29" t="n">
        <v>400</v>
      </c>
      <c r="H5" s="30" t="n">
        <f aca="false">IFERROR((G5-F5)/F5,0)</f>
        <v>1</v>
      </c>
      <c r="I5" s="28" t="s">
        <v>275</v>
      </c>
      <c r="J5" s="28" t="s">
        <v>219</v>
      </c>
      <c r="K5" s="28" t="n">
        <v>9</v>
      </c>
      <c r="L5" s="28" t="n">
        <v>10</v>
      </c>
      <c r="M5" s="28" t="n">
        <v>10</v>
      </c>
      <c r="N5" s="7" t="s">
        <v>276</v>
      </c>
      <c r="O5" s="7" t="s">
        <v>277</v>
      </c>
    </row>
    <row r="6" customFormat="false" ht="34.5" hidden="false" customHeight="true" outlineLevel="0" collapsed="false">
      <c r="A6" s="28" t="n">
        <v>2</v>
      </c>
      <c r="B6" s="7" t="s">
        <v>148</v>
      </c>
      <c r="C6" s="7" t="s">
        <v>272</v>
      </c>
      <c r="D6" s="7" t="s">
        <v>273</v>
      </c>
      <c r="E6" s="28" t="s">
        <v>278</v>
      </c>
      <c r="F6" s="29" t="n">
        <v>185</v>
      </c>
      <c r="G6" s="29" t="n">
        <v>380</v>
      </c>
      <c r="H6" s="30" t="n">
        <f aca="false">IFERROR((G6-F6)/F6,0)</f>
        <v>1.05405405405405</v>
      </c>
      <c r="I6" s="28" t="s">
        <v>275</v>
      </c>
      <c r="J6" s="28" t="s">
        <v>219</v>
      </c>
      <c r="K6" s="28" t="n">
        <v>9</v>
      </c>
      <c r="L6" s="28" t="n">
        <v>10</v>
      </c>
      <c r="M6" s="28" t="n">
        <v>10</v>
      </c>
      <c r="N6" s="7" t="s">
        <v>279</v>
      </c>
      <c r="O6" s="7" t="s">
        <v>280</v>
      </c>
    </row>
    <row r="7" customFormat="false" ht="34.5" hidden="false" customHeight="true" outlineLevel="0" collapsed="false">
      <c r="A7" s="28" t="n">
        <v>3</v>
      </c>
      <c r="B7" s="7" t="s">
        <v>153</v>
      </c>
      <c r="C7" s="7" t="s">
        <v>272</v>
      </c>
      <c r="D7" s="7" t="s">
        <v>273</v>
      </c>
      <c r="E7" s="28" t="s">
        <v>278</v>
      </c>
      <c r="F7" s="29" t="n">
        <v>165</v>
      </c>
      <c r="G7" s="29" t="n">
        <v>350</v>
      </c>
      <c r="H7" s="30" t="n">
        <f aca="false">IFERROR((G7-F7)/F7,0)</f>
        <v>1.12121212121212</v>
      </c>
      <c r="I7" s="28" t="s">
        <v>275</v>
      </c>
      <c r="J7" s="28" t="s">
        <v>219</v>
      </c>
      <c r="K7" s="28" t="n">
        <v>9</v>
      </c>
      <c r="L7" s="28" t="n">
        <v>10</v>
      </c>
      <c r="M7" s="28" t="n">
        <v>10</v>
      </c>
      <c r="N7" s="7" t="s">
        <v>262</v>
      </c>
      <c r="O7" s="7" t="s">
        <v>281</v>
      </c>
    </row>
    <row r="8" customFormat="false" ht="34.5" hidden="false" customHeight="true" outlineLevel="0" collapsed="false">
      <c r="A8" s="28" t="n">
        <v>4</v>
      </c>
      <c r="B8" s="7" t="s">
        <v>168</v>
      </c>
      <c r="C8" s="7" t="s">
        <v>272</v>
      </c>
      <c r="D8" s="7" t="s">
        <v>273</v>
      </c>
      <c r="E8" s="28" t="s">
        <v>278</v>
      </c>
      <c r="F8" s="29" t="n">
        <v>135</v>
      </c>
      <c r="G8" s="29" t="n">
        <v>300</v>
      </c>
      <c r="H8" s="30" t="n">
        <f aca="false">IFERROR((G8-F8)/F8,0)</f>
        <v>1.22222222222222</v>
      </c>
      <c r="I8" s="28" t="s">
        <v>275</v>
      </c>
      <c r="J8" s="28" t="s">
        <v>219</v>
      </c>
      <c r="K8" s="28" t="n">
        <v>9</v>
      </c>
      <c r="L8" s="28" t="n">
        <v>9</v>
      </c>
      <c r="M8" s="28" t="n">
        <v>10</v>
      </c>
      <c r="N8" s="7" t="s">
        <v>282</v>
      </c>
      <c r="O8" s="7" t="s">
        <v>283</v>
      </c>
    </row>
    <row r="9" customFormat="false" ht="34.5" hidden="false" customHeight="true" outlineLevel="0" collapsed="false">
      <c r="A9" s="28" t="n">
        <v>5</v>
      </c>
      <c r="B9" s="7" t="s">
        <v>181</v>
      </c>
      <c r="C9" s="7" t="s">
        <v>182</v>
      </c>
      <c r="D9" s="7" t="s">
        <v>284</v>
      </c>
      <c r="E9" s="28" t="s">
        <v>285</v>
      </c>
      <c r="F9" s="29" t="n">
        <v>125</v>
      </c>
      <c r="G9" s="29" t="n">
        <v>260</v>
      </c>
      <c r="H9" s="30" t="n">
        <f aca="false">IFERROR((G9-F9)/F9,0)</f>
        <v>1.08</v>
      </c>
      <c r="I9" s="28" t="s">
        <v>275</v>
      </c>
      <c r="J9" s="28" t="s">
        <v>219</v>
      </c>
      <c r="K9" s="28" t="n">
        <v>8</v>
      </c>
      <c r="L9" s="28" t="n">
        <v>9</v>
      </c>
      <c r="M9" s="28" t="n">
        <v>7</v>
      </c>
      <c r="N9" s="7" t="s">
        <v>276</v>
      </c>
      <c r="O9" s="7" t="s">
        <v>286</v>
      </c>
    </row>
    <row r="10" customFormat="false" ht="34.5" hidden="false" customHeight="true" outlineLevel="0" collapsed="false">
      <c r="A10" s="28" t="n">
        <v>6</v>
      </c>
      <c r="B10" s="7" t="s">
        <v>287</v>
      </c>
      <c r="C10" s="7" t="s">
        <v>288</v>
      </c>
      <c r="D10" s="7" t="s">
        <v>289</v>
      </c>
      <c r="E10" s="28" t="s">
        <v>274</v>
      </c>
      <c r="F10" s="29" t="n">
        <v>175</v>
      </c>
      <c r="G10" s="29" t="n">
        <v>380</v>
      </c>
      <c r="H10" s="30" t="n">
        <f aca="false">IFERROR((G10-F10)/F10,0)</f>
        <v>1.17142857142857</v>
      </c>
      <c r="I10" s="28" t="s">
        <v>275</v>
      </c>
      <c r="J10" s="28" t="s">
        <v>219</v>
      </c>
      <c r="K10" s="28" t="n">
        <v>7</v>
      </c>
      <c r="L10" s="28" t="n">
        <v>9</v>
      </c>
      <c r="M10" s="28" t="n">
        <v>8</v>
      </c>
      <c r="N10" s="7" t="s">
        <v>227</v>
      </c>
      <c r="O10" s="7" t="s">
        <v>290</v>
      </c>
    </row>
    <row r="11" customFormat="false" ht="34.5" hidden="false" customHeight="true" outlineLevel="0" collapsed="false">
      <c r="A11" s="28" t="n">
        <v>7</v>
      </c>
      <c r="B11" s="7" t="s">
        <v>291</v>
      </c>
      <c r="C11" s="7" t="s">
        <v>288</v>
      </c>
      <c r="D11" s="7" t="s">
        <v>284</v>
      </c>
      <c r="E11" s="28" t="s">
        <v>285</v>
      </c>
      <c r="F11" s="29" t="n">
        <v>180</v>
      </c>
      <c r="G11" s="29" t="n">
        <v>350</v>
      </c>
      <c r="H11" s="30" t="n">
        <f aca="false">IFERROR((G11-F11)/F11,0)</f>
        <v>0.944444444444444</v>
      </c>
      <c r="I11" s="28" t="s">
        <v>275</v>
      </c>
      <c r="J11" s="28" t="s">
        <v>219</v>
      </c>
      <c r="K11" s="28" t="n">
        <v>6</v>
      </c>
      <c r="L11" s="28" t="n">
        <v>8</v>
      </c>
      <c r="M11" s="28" t="n">
        <v>8</v>
      </c>
      <c r="N11" s="7" t="s">
        <v>262</v>
      </c>
      <c r="O11" s="7" t="s">
        <v>292</v>
      </c>
    </row>
    <row r="12" customFormat="false" ht="23.25" hidden="false" customHeight="true" outlineLevel="0" collapsed="false">
      <c r="A12" s="28" t="n">
        <v>8</v>
      </c>
      <c r="B12" s="7" t="s">
        <v>293</v>
      </c>
      <c r="C12" s="7" t="s">
        <v>294</v>
      </c>
      <c r="D12" s="7" t="s">
        <v>295</v>
      </c>
      <c r="E12" s="28" t="s">
        <v>296</v>
      </c>
      <c r="F12" s="29" t="n">
        <v>160</v>
      </c>
      <c r="G12" s="29" t="n">
        <v>280</v>
      </c>
      <c r="H12" s="30" t="n">
        <f aca="false">IFERROR((G12-F12)/F12,0)</f>
        <v>0.75</v>
      </c>
      <c r="I12" s="28" t="s">
        <v>208</v>
      </c>
      <c r="J12" s="28" t="s">
        <v>219</v>
      </c>
      <c r="K12" s="28" t="n">
        <v>7</v>
      </c>
      <c r="L12" s="28" t="n">
        <v>8</v>
      </c>
      <c r="M12" s="28" t="n">
        <v>5</v>
      </c>
      <c r="N12" s="7" t="s">
        <v>297</v>
      </c>
      <c r="O12" s="7" t="s">
        <v>298</v>
      </c>
    </row>
    <row r="13" customFormat="false" ht="23.25" hidden="false" customHeight="true" outlineLevel="0" collapsed="false">
      <c r="A13" s="28" t="n">
        <v>9</v>
      </c>
      <c r="B13" s="7" t="s">
        <v>299</v>
      </c>
      <c r="C13" s="7" t="s">
        <v>294</v>
      </c>
      <c r="D13" s="7" t="s">
        <v>295</v>
      </c>
      <c r="E13" s="28" t="s">
        <v>296</v>
      </c>
      <c r="F13" s="29" t="n">
        <v>190</v>
      </c>
      <c r="G13" s="29" t="n">
        <v>320</v>
      </c>
      <c r="H13" s="30" t="n">
        <f aca="false">IFERROR((G13-F13)/F13,0)</f>
        <v>0.68421052631579</v>
      </c>
      <c r="I13" s="28" t="s">
        <v>208</v>
      </c>
      <c r="J13" s="28" t="s">
        <v>219</v>
      </c>
      <c r="K13" s="28" t="n">
        <v>7</v>
      </c>
      <c r="L13" s="28" t="n">
        <v>8</v>
      </c>
      <c r="M13" s="28" t="n">
        <v>5</v>
      </c>
      <c r="N13" s="7" t="s">
        <v>279</v>
      </c>
      <c r="O13" s="7" t="s">
        <v>300</v>
      </c>
    </row>
    <row r="14" customFormat="false" ht="23.25" hidden="false" customHeight="true" outlineLevel="0" collapsed="false">
      <c r="A14" s="28" t="n">
        <v>10</v>
      </c>
      <c r="B14" s="7" t="s">
        <v>301</v>
      </c>
      <c r="C14" s="7" t="s">
        <v>302</v>
      </c>
      <c r="D14" s="7" t="s">
        <v>303</v>
      </c>
      <c r="E14" s="28" t="s">
        <v>296</v>
      </c>
      <c r="F14" s="29" t="n">
        <v>125</v>
      </c>
      <c r="G14" s="29" t="n">
        <v>240</v>
      </c>
      <c r="H14" s="30" t="n">
        <f aca="false">IFERROR((G14-F14)/F14,0)</f>
        <v>0.92</v>
      </c>
      <c r="I14" s="28" t="s">
        <v>304</v>
      </c>
      <c r="J14" s="28" t="s">
        <v>219</v>
      </c>
      <c r="K14" s="28" t="n">
        <v>8</v>
      </c>
      <c r="L14" s="28" t="n">
        <v>8</v>
      </c>
      <c r="M14" s="28" t="n">
        <v>4</v>
      </c>
      <c r="N14" s="7" t="s">
        <v>305</v>
      </c>
      <c r="O14" s="7" t="s">
        <v>306</v>
      </c>
    </row>
    <row r="15" customFormat="false" ht="34.5" hidden="false" customHeight="true" outlineLevel="0" collapsed="false">
      <c r="A15" s="28" t="n">
        <v>11</v>
      </c>
      <c r="B15" s="7" t="s">
        <v>307</v>
      </c>
      <c r="C15" s="7" t="s">
        <v>308</v>
      </c>
      <c r="D15" s="7" t="s">
        <v>309</v>
      </c>
      <c r="E15" s="28" t="s">
        <v>296</v>
      </c>
      <c r="F15" s="29" t="n">
        <v>85</v>
      </c>
      <c r="G15" s="29" t="n">
        <v>180</v>
      </c>
      <c r="H15" s="30" t="n">
        <f aca="false">IFERROR((G15-F15)/F15,0)</f>
        <v>1.11764705882353</v>
      </c>
      <c r="I15" s="28" t="s">
        <v>310</v>
      </c>
      <c r="J15" s="28" t="s">
        <v>219</v>
      </c>
      <c r="K15" s="28" t="n">
        <v>6</v>
      </c>
      <c r="L15" s="28" t="n">
        <v>8</v>
      </c>
      <c r="M15" s="28" t="n">
        <v>5</v>
      </c>
      <c r="N15" s="7" t="s">
        <v>220</v>
      </c>
      <c r="O15" s="7" t="s">
        <v>311</v>
      </c>
    </row>
    <row r="16" customFormat="false" ht="23.25" hidden="false" customHeight="true" outlineLevel="0" collapsed="false">
      <c r="A16" s="28" t="n">
        <v>12</v>
      </c>
      <c r="B16" s="7" t="s">
        <v>312</v>
      </c>
      <c r="C16" s="7" t="s">
        <v>294</v>
      </c>
      <c r="D16" s="7" t="s">
        <v>295</v>
      </c>
      <c r="E16" s="28" t="s">
        <v>296</v>
      </c>
      <c r="F16" s="29" t="n">
        <v>180</v>
      </c>
      <c r="G16" s="29" t="n">
        <v>300</v>
      </c>
      <c r="H16" s="30" t="n">
        <f aca="false">IFERROR((G16-F16)/F16,0)</f>
        <v>0.666666666666667</v>
      </c>
      <c r="I16" s="28" t="s">
        <v>208</v>
      </c>
      <c r="J16" s="28" t="s">
        <v>219</v>
      </c>
      <c r="K16" s="28" t="n">
        <v>7</v>
      </c>
      <c r="L16" s="28" t="n">
        <v>8</v>
      </c>
      <c r="M16" s="28" t="n">
        <v>5</v>
      </c>
      <c r="N16" s="7" t="s">
        <v>262</v>
      </c>
      <c r="O16" s="7" t="s">
        <v>313</v>
      </c>
    </row>
    <row r="18" customFormat="false" ht="15" hidden="false" customHeight="true" outlineLevel="0" collapsed="false">
      <c r="B18" s="31" t="s">
        <v>269</v>
      </c>
      <c r="F18" s="32" t="n">
        <f aca="false">AVERAGE(F5:F16)</f>
        <v>158.75</v>
      </c>
      <c r="G18" s="32" t="n">
        <f aca="false">AVERAGE(G5:G16)</f>
        <v>311.666666666667</v>
      </c>
      <c r="H18" s="33" t="n">
        <f aca="false">AVERAGE(H5:H16)</f>
        <v>0.97765713876395</v>
      </c>
      <c r="K18" s="34" t="n">
        <f aca="false">AVERAGE(K5:K16)</f>
        <v>7.66666666666667</v>
      </c>
      <c r="L18" s="34" t="n">
        <f aca="false">AVERAGE(L5:L16)</f>
        <v>8.75</v>
      </c>
    </row>
  </sheetData>
  <mergeCells count="2">
    <mergeCell ref="A1:O1"/>
    <mergeCell ref="A2:O2"/>
  </mergeCells>
  <conditionalFormatting sqref="L5:L16">
    <cfRule type="colorScale" priority="2">
      <colorScale>
        <cfvo type="num" val="1"/>
        <cfvo type="num" val="5"/>
        <cfvo type="num" val="10"/>
        <color rgb="FFF8696B"/>
        <color rgb="FFFFEB84"/>
        <color rgb="FF63BE7B"/>
      </colorScale>
    </cfRule>
  </conditionalFormatting>
  <conditionalFormatting sqref="H5:H16">
    <cfRule type="colorScale" priority="3">
      <colorScale>
        <cfvo type="num" val="-0.2"/>
        <cfvo type="num" val="0.5"/>
        <cfvo type="num" val="2"/>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4" min="3" style="1" width="22"/>
    <col collapsed="false" customWidth="true" hidden="false" outlineLevel="0" max="5" min="5" style="1" width="11"/>
    <col collapsed="false" customWidth="true" hidden="false" outlineLevel="0" max="7" min="6" style="1" width="12"/>
    <col collapsed="false" customWidth="true" hidden="false" outlineLevel="0" max="8" min="8" style="1" width="9"/>
    <col collapsed="false" customWidth="true" hidden="false" outlineLevel="0" max="9" min="9" style="1" width="12"/>
    <col collapsed="false" customWidth="true" hidden="false" outlineLevel="0" max="11" min="10" style="1" width="10"/>
    <col collapsed="false" customWidth="true" hidden="false" outlineLevel="0" max="12" min="12" style="1" width="11"/>
    <col collapsed="false" customWidth="true" hidden="false" outlineLevel="0" max="13" min="13" style="1" width="8"/>
    <col collapsed="false" customWidth="true" hidden="false" outlineLevel="0" max="14" min="14" style="1" width="22"/>
    <col collapsed="false" customWidth="true" hidden="false" outlineLevel="0" max="15" min="15" style="1" width="45"/>
  </cols>
  <sheetData>
    <row r="1" customFormat="false" ht="19.5" hidden="false" customHeight="true" outlineLevel="0" collapsed="false">
      <c r="A1" s="2" t="s">
        <v>314</v>
      </c>
      <c r="B1" s="2"/>
      <c r="C1" s="2"/>
      <c r="D1" s="2"/>
      <c r="E1" s="2"/>
      <c r="F1" s="2"/>
      <c r="G1" s="2"/>
      <c r="H1" s="2"/>
      <c r="I1" s="2"/>
      <c r="J1" s="2"/>
      <c r="K1" s="2"/>
      <c r="L1" s="2"/>
      <c r="M1" s="2"/>
      <c r="N1" s="2"/>
      <c r="O1" s="2"/>
    </row>
    <row r="2" customFormat="false" ht="15" hidden="false" customHeight="true" outlineLevel="0" collapsed="false">
      <c r="A2" s="3" t="s">
        <v>315</v>
      </c>
      <c r="B2" s="3"/>
      <c r="C2" s="3"/>
      <c r="D2" s="3"/>
      <c r="E2" s="3"/>
      <c r="F2" s="3"/>
      <c r="G2" s="3"/>
      <c r="H2" s="3"/>
      <c r="I2" s="3"/>
      <c r="J2" s="3"/>
      <c r="K2" s="3"/>
      <c r="L2" s="3"/>
      <c r="M2" s="3"/>
      <c r="N2" s="3"/>
      <c r="O2" s="3"/>
    </row>
    <row r="4" customFormat="false" ht="26.25" hidden="false" customHeight="true" outlineLevel="0" collapsed="false">
      <c r="A4" s="5" t="s">
        <v>92</v>
      </c>
      <c r="B4" s="5" t="s">
        <v>195</v>
      </c>
      <c r="C4" s="5" t="s">
        <v>139</v>
      </c>
      <c r="D4" s="5" t="s">
        <v>196</v>
      </c>
      <c r="E4" s="5" t="s">
        <v>197</v>
      </c>
      <c r="F4" s="5" t="s">
        <v>198</v>
      </c>
      <c r="G4" s="5" t="s">
        <v>199</v>
      </c>
      <c r="H4" s="5" t="s">
        <v>142</v>
      </c>
      <c r="I4" s="5" t="s">
        <v>200</v>
      </c>
      <c r="J4" s="5" t="s">
        <v>201</v>
      </c>
      <c r="K4" s="5" t="s">
        <v>202</v>
      </c>
      <c r="L4" s="5" t="s">
        <v>203</v>
      </c>
      <c r="M4" s="5" t="s">
        <v>144</v>
      </c>
      <c r="N4" s="5" t="s">
        <v>204</v>
      </c>
      <c r="O4" s="5" t="s">
        <v>205</v>
      </c>
    </row>
    <row r="5" customFormat="false" ht="34.5" hidden="false" customHeight="true" outlineLevel="0" collapsed="false">
      <c r="A5" s="28" t="n">
        <v>1</v>
      </c>
      <c r="B5" s="7" t="s">
        <v>164</v>
      </c>
      <c r="C5" s="7" t="s">
        <v>165</v>
      </c>
      <c r="D5" s="7" t="s">
        <v>316</v>
      </c>
      <c r="E5" s="28" t="s">
        <v>317</v>
      </c>
      <c r="F5" s="29" t="n">
        <v>180</v>
      </c>
      <c r="G5" s="29" t="n">
        <v>420</v>
      </c>
      <c r="H5" s="30" t="n">
        <f aca="false">IFERROR((G5-F5)/F5,0)</f>
        <v>1.33333333333333</v>
      </c>
      <c r="I5" s="28" t="s">
        <v>318</v>
      </c>
      <c r="J5" s="28" t="s">
        <v>219</v>
      </c>
      <c r="K5" s="28" t="n">
        <v>8</v>
      </c>
      <c r="L5" s="28" t="n">
        <v>9</v>
      </c>
      <c r="M5" s="28" t="n">
        <v>7</v>
      </c>
      <c r="N5" s="7" t="s">
        <v>227</v>
      </c>
      <c r="O5" s="7" t="s">
        <v>319</v>
      </c>
    </row>
    <row r="6" customFormat="false" ht="23.25" hidden="false" customHeight="true" outlineLevel="0" collapsed="false">
      <c r="A6" s="28" t="n">
        <v>2</v>
      </c>
      <c r="B6" s="7" t="s">
        <v>166</v>
      </c>
      <c r="C6" s="7" t="s">
        <v>320</v>
      </c>
      <c r="D6" s="7" t="s">
        <v>321</v>
      </c>
      <c r="E6" s="28" t="s">
        <v>322</v>
      </c>
      <c r="F6" s="29" t="n">
        <v>160</v>
      </c>
      <c r="G6" s="29" t="n">
        <v>280</v>
      </c>
      <c r="H6" s="30" t="n">
        <f aca="false">IFERROR((G6-F6)/F6,0)</f>
        <v>0.75</v>
      </c>
      <c r="I6" s="28" t="s">
        <v>323</v>
      </c>
      <c r="J6" s="28" t="s">
        <v>209</v>
      </c>
      <c r="K6" s="28" t="n">
        <v>8</v>
      </c>
      <c r="L6" s="28" t="n">
        <v>9</v>
      </c>
      <c r="M6" s="28" t="n">
        <v>3</v>
      </c>
      <c r="N6" s="7" t="s">
        <v>324</v>
      </c>
      <c r="O6" s="7" t="s">
        <v>325</v>
      </c>
    </row>
    <row r="7" customFormat="false" ht="15" hidden="false" customHeight="true" outlineLevel="0" collapsed="false">
      <c r="A7" s="28" t="n">
        <v>3</v>
      </c>
      <c r="B7" s="7" t="s">
        <v>326</v>
      </c>
      <c r="C7" s="7" t="s">
        <v>165</v>
      </c>
      <c r="D7" s="7" t="s">
        <v>316</v>
      </c>
      <c r="E7" s="28" t="s">
        <v>322</v>
      </c>
      <c r="F7" s="29" t="n">
        <v>115</v>
      </c>
      <c r="G7" s="29" t="n">
        <v>240</v>
      </c>
      <c r="H7" s="30" t="n">
        <f aca="false">IFERROR((G7-F7)/F7,0)</f>
        <v>1.08695652173913</v>
      </c>
      <c r="I7" s="28" t="s">
        <v>20</v>
      </c>
      <c r="J7" s="28" t="s">
        <v>219</v>
      </c>
      <c r="K7" s="28" t="n">
        <v>6</v>
      </c>
      <c r="L7" s="28" t="n">
        <v>8</v>
      </c>
      <c r="M7" s="28" t="n">
        <v>5</v>
      </c>
      <c r="N7" s="7" t="s">
        <v>282</v>
      </c>
      <c r="O7" s="7" t="s">
        <v>327</v>
      </c>
    </row>
    <row r="8" customFormat="false" ht="23.25" hidden="false" customHeight="true" outlineLevel="0" collapsed="false">
      <c r="A8" s="28" t="n">
        <v>4</v>
      </c>
      <c r="B8" s="7" t="s">
        <v>328</v>
      </c>
      <c r="C8" s="7" t="s">
        <v>320</v>
      </c>
      <c r="D8" s="7" t="s">
        <v>321</v>
      </c>
      <c r="E8" s="28" t="s">
        <v>322</v>
      </c>
      <c r="F8" s="29" t="n">
        <v>100</v>
      </c>
      <c r="G8" s="29" t="n">
        <v>200</v>
      </c>
      <c r="H8" s="30" t="n">
        <f aca="false">IFERROR((G8-F8)/F8,0)</f>
        <v>1</v>
      </c>
      <c r="I8" s="28" t="s">
        <v>20</v>
      </c>
      <c r="J8" s="28" t="s">
        <v>209</v>
      </c>
      <c r="K8" s="28" t="n">
        <v>7</v>
      </c>
      <c r="L8" s="28" t="n">
        <v>8</v>
      </c>
      <c r="M8" s="28" t="n">
        <v>3</v>
      </c>
      <c r="N8" s="7" t="s">
        <v>220</v>
      </c>
      <c r="O8" s="7" t="s">
        <v>329</v>
      </c>
    </row>
    <row r="9" customFormat="false" ht="15" hidden="false" customHeight="true" outlineLevel="0" collapsed="false">
      <c r="A9" s="28" t="n">
        <v>5</v>
      </c>
      <c r="B9" s="7" t="s">
        <v>330</v>
      </c>
      <c r="C9" s="7" t="s">
        <v>165</v>
      </c>
      <c r="D9" s="7" t="s">
        <v>316</v>
      </c>
      <c r="E9" s="28" t="s">
        <v>322</v>
      </c>
      <c r="F9" s="29" t="n">
        <v>105</v>
      </c>
      <c r="G9" s="29" t="n">
        <v>210</v>
      </c>
      <c r="H9" s="30" t="n">
        <f aca="false">IFERROR((G9-F9)/F9,0)</f>
        <v>1</v>
      </c>
      <c r="I9" s="28" t="s">
        <v>20</v>
      </c>
      <c r="J9" s="28" t="s">
        <v>219</v>
      </c>
      <c r="K9" s="28" t="n">
        <v>6</v>
      </c>
      <c r="L9" s="28" t="n">
        <v>8</v>
      </c>
      <c r="M9" s="28" t="n">
        <v>5</v>
      </c>
      <c r="N9" s="7" t="s">
        <v>262</v>
      </c>
      <c r="O9" s="7" t="s">
        <v>331</v>
      </c>
    </row>
    <row r="10" customFormat="false" ht="23.25" hidden="false" customHeight="true" outlineLevel="0" collapsed="false">
      <c r="A10" s="28" t="n">
        <v>6</v>
      </c>
      <c r="B10" s="7" t="s">
        <v>332</v>
      </c>
      <c r="C10" s="7" t="s">
        <v>333</v>
      </c>
      <c r="D10" s="7" t="s">
        <v>334</v>
      </c>
      <c r="E10" s="28" t="s">
        <v>335</v>
      </c>
      <c r="F10" s="29" t="n">
        <v>175</v>
      </c>
      <c r="G10" s="29" t="n">
        <v>340</v>
      </c>
      <c r="H10" s="30" t="n">
        <f aca="false">IFERROR((G10-F10)/F10,0)</f>
        <v>0.942857142857143</v>
      </c>
      <c r="I10" s="28" t="s">
        <v>336</v>
      </c>
      <c r="J10" s="28" t="s">
        <v>209</v>
      </c>
      <c r="K10" s="28" t="n">
        <v>6</v>
      </c>
      <c r="L10" s="28" t="n">
        <v>8</v>
      </c>
      <c r="M10" s="28" t="n">
        <v>6</v>
      </c>
      <c r="N10" s="7" t="s">
        <v>282</v>
      </c>
      <c r="O10" s="7" t="s">
        <v>337</v>
      </c>
    </row>
    <row r="11" customFormat="false" ht="15" hidden="false" customHeight="true" outlineLevel="0" collapsed="false">
      <c r="A11" s="28" t="n">
        <v>7</v>
      </c>
      <c r="B11" s="7" t="s">
        <v>338</v>
      </c>
      <c r="C11" s="7" t="s">
        <v>165</v>
      </c>
      <c r="D11" s="7" t="s">
        <v>316</v>
      </c>
      <c r="E11" s="28" t="s">
        <v>322</v>
      </c>
      <c r="F11" s="29" t="n">
        <v>50</v>
      </c>
      <c r="G11" s="29" t="n">
        <v>120</v>
      </c>
      <c r="H11" s="30" t="n">
        <f aca="false">IFERROR((G11-F11)/F11,0)</f>
        <v>1.4</v>
      </c>
      <c r="I11" s="28" t="s">
        <v>243</v>
      </c>
      <c r="J11" s="28" t="s">
        <v>219</v>
      </c>
      <c r="K11" s="28" t="n">
        <v>5</v>
      </c>
      <c r="L11" s="28" t="n">
        <v>7</v>
      </c>
      <c r="M11" s="28" t="n">
        <v>5</v>
      </c>
      <c r="N11" s="7" t="s">
        <v>282</v>
      </c>
      <c r="O11" s="7" t="s">
        <v>339</v>
      </c>
    </row>
    <row r="12" customFormat="false" ht="23.25" hidden="false" customHeight="true" outlineLevel="0" collapsed="false">
      <c r="A12" s="28" t="n">
        <v>8</v>
      </c>
      <c r="B12" s="7" t="s">
        <v>340</v>
      </c>
      <c r="C12" s="7" t="s">
        <v>341</v>
      </c>
      <c r="D12" s="7" t="s">
        <v>342</v>
      </c>
      <c r="E12" s="28" t="s">
        <v>343</v>
      </c>
      <c r="F12" s="29" t="n">
        <v>140</v>
      </c>
      <c r="G12" s="29" t="n">
        <v>280</v>
      </c>
      <c r="H12" s="30" t="n">
        <f aca="false">IFERROR((G12-F12)/F12,0)</f>
        <v>1</v>
      </c>
      <c r="I12" s="28" t="s">
        <v>344</v>
      </c>
      <c r="J12" s="28" t="s">
        <v>219</v>
      </c>
      <c r="K12" s="28" t="n">
        <v>5</v>
      </c>
      <c r="L12" s="28" t="n">
        <v>7</v>
      </c>
      <c r="M12" s="28" t="n">
        <v>7</v>
      </c>
      <c r="N12" s="7" t="s">
        <v>262</v>
      </c>
      <c r="O12" s="7" t="s">
        <v>345</v>
      </c>
    </row>
    <row r="13" customFormat="false" ht="23.25" hidden="false" customHeight="true" outlineLevel="0" collapsed="false">
      <c r="A13" s="28" t="n">
        <v>9</v>
      </c>
      <c r="B13" s="7" t="s">
        <v>346</v>
      </c>
      <c r="C13" s="7" t="s">
        <v>347</v>
      </c>
      <c r="D13" s="7" t="s">
        <v>348</v>
      </c>
      <c r="E13" s="28" t="s">
        <v>322</v>
      </c>
      <c r="F13" s="29" t="n">
        <v>85</v>
      </c>
      <c r="G13" s="29" t="n">
        <v>160</v>
      </c>
      <c r="H13" s="30" t="n">
        <f aca="false">IFERROR((G13-F13)/F13,0)</f>
        <v>0.882352941176471</v>
      </c>
      <c r="I13" s="28" t="s">
        <v>208</v>
      </c>
      <c r="J13" s="28" t="s">
        <v>209</v>
      </c>
      <c r="K13" s="28" t="n">
        <v>7</v>
      </c>
      <c r="L13" s="28" t="n">
        <v>7</v>
      </c>
      <c r="M13" s="28" t="n">
        <v>3</v>
      </c>
      <c r="N13" s="7" t="s">
        <v>220</v>
      </c>
      <c r="O13" s="7" t="s">
        <v>349</v>
      </c>
    </row>
    <row r="14" customFormat="false" ht="23.25" hidden="false" customHeight="true" outlineLevel="0" collapsed="false">
      <c r="A14" s="28" t="n">
        <v>10</v>
      </c>
      <c r="B14" s="7" t="s">
        <v>350</v>
      </c>
      <c r="C14" s="7" t="s">
        <v>351</v>
      </c>
      <c r="D14" s="7" t="s">
        <v>321</v>
      </c>
      <c r="E14" s="28" t="s">
        <v>322</v>
      </c>
      <c r="F14" s="29" t="n">
        <v>70</v>
      </c>
      <c r="G14" s="29" t="n">
        <v>160</v>
      </c>
      <c r="H14" s="30" t="n">
        <f aca="false">IFERROR((G14-F14)/F14,0)</f>
        <v>1.28571428571429</v>
      </c>
      <c r="I14" s="28" t="s">
        <v>20</v>
      </c>
      <c r="J14" s="28" t="s">
        <v>219</v>
      </c>
      <c r="K14" s="28" t="n">
        <v>7</v>
      </c>
      <c r="L14" s="28" t="n">
        <v>7</v>
      </c>
      <c r="M14" s="28" t="n">
        <v>3</v>
      </c>
      <c r="N14" s="7" t="s">
        <v>220</v>
      </c>
      <c r="O14" s="7" t="s">
        <v>352</v>
      </c>
    </row>
    <row r="16" customFormat="false" ht="15" hidden="false" customHeight="true" outlineLevel="0" collapsed="false">
      <c r="B16" s="31" t="s">
        <v>269</v>
      </c>
      <c r="F16" s="32" t="n">
        <f aca="false">AVERAGE(F5:F14)</f>
        <v>118</v>
      </c>
      <c r="G16" s="32" t="n">
        <f aca="false">AVERAGE(G5:G14)</f>
        <v>241</v>
      </c>
      <c r="H16" s="33" t="n">
        <f aca="false">AVERAGE(H5:H14)</f>
        <v>1.06812142248204</v>
      </c>
      <c r="K16" s="34" t="n">
        <f aca="false">AVERAGE(K5:K14)</f>
        <v>6.5</v>
      </c>
      <c r="L16" s="34" t="n">
        <f aca="false">AVERAGE(L5:L14)</f>
        <v>7.8</v>
      </c>
    </row>
  </sheetData>
  <mergeCells count="2">
    <mergeCell ref="A1:O1"/>
    <mergeCell ref="A2:O2"/>
  </mergeCells>
  <conditionalFormatting sqref="L5:L14">
    <cfRule type="colorScale" priority="2">
      <colorScale>
        <cfvo type="num" val="1"/>
        <cfvo type="num" val="5"/>
        <cfvo type="num" val="10"/>
        <color rgb="FFF8696B"/>
        <color rgb="FFFFEB84"/>
        <color rgb="FF63BE7B"/>
      </colorScale>
    </cfRule>
  </conditionalFormatting>
  <conditionalFormatting sqref="H5:H14">
    <cfRule type="colorScale" priority="3">
      <colorScale>
        <cfvo type="num" val="-0.2"/>
        <cfvo type="num" val="0.5"/>
        <cfvo type="num" val="2"/>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4" min="3" style="1" width="22"/>
    <col collapsed="false" customWidth="true" hidden="false" outlineLevel="0" max="5" min="5" style="1" width="11"/>
    <col collapsed="false" customWidth="true" hidden="false" outlineLevel="0" max="7" min="6" style="1" width="12"/>
    <col collapsed="false" customWidth="true" hidden="false" outlineLevel="0" max="8" min="8" style="1" width="9"/>
    <col collapsed="false" customWidth="true" hidden="false" outlineLevel="0" max="9" min="9" style="1" width="12"/>
    <col collapsed="false" customWidth="true" hidden="false" outlineLevel="0" max="11" min="10" style="1" width="10"/>
    <col collapsed="false" customWidth="true" hidden="false" outlineLevel="0" max="12" min="12" style="1" width="11"/>
    <col collapsed="false" customWidth="true" hidden="false" outlineLevel="0" max="13" min="13" style="1" width="8"/>
    <col collapsed="false" customWidth="true" hidden="false" outlineLevel="0" max="14" min="14" style="1" width="22"/>
    <col collapsed="false" customWidth="true" hidden="false" outlineLevel="0" max="15" min="15" style="1" width="45"/>
  </cols>
  <sheetData>
    <row r="1" customFormat="false" ht="19.5" hidden="false" customHeight="true" outlineLevel="0" collapsed="false">
      <c r="A1" s="2" t="s">
        <v>353</v>
      </c>
      <c r="B1" s="2"/>
      <c r="C1" s="2"/>
      <c r="D1" s="2"/>
      <c r="E1" s="2"/>
      <c r="F1" s="2"/>
      <c r="G1" s="2"/>
      <c r="H1" s="2"/>
      <c r="I1" s="2"/>
      <c r="J1" s="2"/>
      <c r="K1" s="2"/>
      <c r="L1" s="2"/>
      <c r="M1" s="2"/>
      <c r="N1" s="2"/>
      <c r="O1" s="2"/>
    </row>
    <row r="2" customFormat="false" ht="15" hidden="false" customHeight="true" outlineLevel="0" collapsed="false">
      <c r="A2" s="3" t="s">
        <v>354</v>
      </c>
      <c r="B2" s="3"/>
      <c r="C2" s="3"/>
      <c r="D2" s="3"/>
      <c r="E2" s="3"/>
      <c r="F2" s="3"/>
      <c r="G2" s="3"/>
      <c r="H2" s="3"/>
      <c r="I2" s="3"/>
      <c r="J2" s="3"/>
      <c r="K2" s="3"/>
      <c r="L2" s="3"/>
      <c r="M2" s="3"/>
      <c r="N2" s="3"/>
      <c r="O2" s="3"/>
    </row>
    <row r="4" customFormat="false" ht="26.25" hidden="false" customHeight="true" outlineLevel="0" collapsed="false">
      <c r="A4" s="5" t="s">
        <v>92</v>
      </c>
      <c r="B4" s="5" t="s">
        <v>195</v>
      </c>
      <c r="C4" s="5" t="s">
        <v>139</v>
      </c>
      <c r="D4" s="5" t="s">
        <v>196</v>
      </c>
      <c r="E4" s="5" t="s">
        <v>197</v>
      </c>
      <c r="F4" s="5" t="s">
        <v>198</v>
      </c>
      <c r="G4" s="5" t="s">
        <v>199</v>
      </c>
      <c r="H4" s="5" t="s">
        <v>142</v>
      </c>
      <c r="I4" s="5" t="s">
        <v>200</v>
      </c>
      <c r="J4" s="5" t="s">
        <v>201</v>
      </c>
      <c r="K4" s="5" t="s">
        <v>202</v>
      </c>
      <c r="L4" s="5" t="s">
        <v>203</v>
      </c>
      <c r="M4" s="5" t="s">
        <v>144</v>
      </c>
      <c r="N4" s="5" t="s">
        <v>204</v>
      </c>
      <c r="O4" s="5" t="s">
        <v>205</v>
      </c>
    </row>
    <row r="5" customFormat="false" ht="23.25" hidden="false" customHeight="true" outlineLevel="0" collapsed="false">
      <c r="A5" s="28" t="n">
        <v>1</v>
      </c>
      <c r="B5" s="7" t="s">
        <v>169</v>
      </c>
      <c r="C5" s="7" t="s">
        <v>355</v>
      </c>
      <c r="D5" s="7" t="s">
        <v>356</v>
      </c>
      <c r="E5" s="28" t="s">
        <v>322</v>
      </c>
      <c r="F5" s="29" t="n">
        <v>140</v>
      </c>
      <c r="G5" s="29" t="n">
        <v>300</v>
      </c>
      <c r="H5" s="30" t="n">
        <f aca="false">IFERROR((G5-F5)/F5,0)</f>
        <v>1.14285714285714</v>
      </c>
      <c r="I5" s="28" t="s">
        <v>336</v>
      </c>
      <c r="J5" s="28" t="s">
        <v>219</v>
      </c>
      <c r="K5" s="28" t="n">
        <v>8</v>
      </c>
      <c r="L5" s="28" t="n">
        <v>9</v>
      </c>
      <c r="M5" s="28" t="n">
        <v>3</v>
      </c>
      <c r="N5" s="7" t="s">
        <v>220</v>
      </c>
      <c r="O5" s="7" t="s">
        <v>357</v>
      </c>
    </row>
    <row r="6" customFormat="false" ht="23.25" hidden="false" customHeight="true" outlineLevel="0" collapsed="false">
      <c r="A6" s="28" t="n">
        <v>2</v>
      </c>
      <c r="B6" s="7" t="s">
        <v>171</v>
      </c>
      <c r="C6" s="7" t="s">
        <v>172</v>
      </c>
      <c r="D6" s="7" t="s">
        <v>356</v>
      </c>
      <c r="E6" s="28" t="s">
        <v>322</v>
      </c>
      <c r="F6" s="29" t="n">
        <v>160</v>
      </c>
      <c r="G6" s="29" t="n">
        <v>340</v>
      </c>
      <c r="H6" s="30" t="n">
        <f aca="false">IFERROR((G6-F6)/F6,0)</f>
        <v>1.125</v>
      </c>
      <c r="I6" s="28" t="s">
        <v>336</v>
      </c>
      <c r="J6" s="28" t="s">
        <v>219</v>
      </c>
      <c r="K6" s="28" t="n">
        <v>7</v>
      </c>
      <c r="L6" s="28" t="n">
        <v>9</v>
      </c>
      <c r="M6" s="28" t="n">
        <v>3</v>
      </c>
      <c r="N6" s="7" t="s">
        <v>220</v>
      </c>
      <c r="O6" s="7" t="s">
        <v>358</v>
      </c>
    </row>
    <row r="7" customFormat="false" ht="23.25" hidden="false" customHeight="true" outlineLevel="0" collapsed="false">
      <c r="A7" s="28" t="n">
        <v>3</v>
      </c>
      <c r="B7" s="7" t="s">
        <v>186</v>
      </c>
      <c r="C7" s="7" t="s">
        <v>187</v>
      </c>
      <c r="D7" s="7" t="s">
        <v>359</v>
      </c>
      <c r="E7" s="28" t="s">
        <v>322</v>
      </c>
      <c r="F7" s="29" t="n">
        <v>195</v>
      </c>
      <c r="G7" s="29" t="n">
        <v>400</v>
      </c>
      <c r="H7" s="30" t="n">
        <f aca="false">IFERROR((G7-F7)/F7,0)</f>
        <v>1.05128205128205</v>
      </c>
      <c r="I7" s="28" t="s">
        <v>360</v>
      </c>
      <c r="J7" s="28" t="s">
        <v>209</v>
      </c>
      <c r="K7" s="28" t="n">
        <v>7</v>
      </c>
      <c r="L7" s="28" t="n">
        <v>9</v>
      </c>
      <c r="M7" s="28" t="n">
        <v>3</v>
      </c>
      <c r="N7" s="7" t="s">
        <v>361</v>
      </c>
      <c r="O7" s="7" t="s">
        <v>362</v>
      </c>
    </row>
    <row r="8" customFormat="false" ht="23.25" hidden="false" customHeight="true" outlineLevel="0" collapsed="false">
      <c r="A8" s="28" t="n">
        <v>4</v>
      </c>
      <c r="B8" s="7" t="s">
        <v>363</v>
      </c>
      <c r="C8" s="7" t="s">
        <v>187</v>
      </c>
      <c r="D8" s="7" t="s">
        <v>364</v>
      </c>
      <c r="E8" s="28" t="s">
        <v>322</v>
      </c>
      <c r="F8" s="29" t="n">
        <v>100</v>
      </c>
      <c r="G8" s="29" t="n">
        <v>230</v>
      </c>
      <c r="H8" s="30" t="n">
        <f aca="false">IFERROR((G8-F8)/F8,0)</f>
        <v>1.3</v>
      </c>
      <c r="I8" s="28" t="s">
        <v>20</v>
      </c>
      <c r="J8" s="28" t="s">
        <v>219</v>
      </c>
      <c r="K8" s="28" t="n">
        <v>7</v>
      </c>
      <c r="L8" s="28" t="n">
        <v>8</v>
      </c>
      <c r="M8" s="28" t="n">
        <v>3</v>
      </c>
      <c r="N8" s="7" t="s">
        <v>220</v>
      </c>
      <c r="O8" s="7" t="s">
        <v>365</v>
      </c>
    </row>
    <row r="9" customFormat="false" ht="23.25" hidden="false" customHeight="true" outlineLevel="0" collapsed="false">
      <c r="A9" s="28" t="n">
        <v>5</v>
      </c>
      <c r="B9" s="7" t="s">
        <v>366</v>
      </c>
      <c r="C9" s="7" t="s">
        <v>367</v>
      </c>
      <c r="D9" s="7" t="s">
        <v>368</v>
      </c>
      <c r="E9" s="28" t="s">
        <v>322</v>
      </c>
      <c r="F9" s="29" t="n">
        <v>150</v>
      </c>
      <c r="G9" s="29" t="n">
        <v>280</v>
      </c>
      <c r="H9" s="30" t="n">
        <f aca="false">IFERROR((G9-F9)/F9,0)</f>
        <v>0.866666666666667</v>
      </c>
      <c r="I9" s="28" t="s">
        <v>20</v>
      </c>
      <c r="J9" s="28" t="s">
        <v>219</v>
      </c>
      <c r="K9" s="28" t="n">
        <v>6</v>
      </c>
      <c r="L9" s="28" t="n">
        <v>8</v>
      </c>
      <c r="M9" s="28" t="n">
        <v>3</v>
      </c>
      <c r="N9" s="7" t="s">
        <v>369</v>
      </c>
      <c r="O9" s="7" t="s">
        <v>370</v>
      </c>
    </row>
    <row r="10" customFormat="false" ht="23.25" hidden="false" customHeight="true" outlineLevel="0" collapsed="false">
      <c r="A10" s="28" t="n">
        <v>6</v>
      </c>
      <c r="B10" s="7" t="s">
        <v>371</v>
      </c>
      <c r="C10" s="7" t="s">
        <v>372</v>
      </c>
      <c r="D10" s="7" t="s">
        <v>356</v>
      </c>
      <c r="E10" s="28" t="s">
        <v>322</v>
      </c>
      <c r="F10" s="29" t="n">
        <v>125</v>
      </c>
      <c r="G10" s="29" t="n">
        <v>260</v>
      </c>
      <c r="H10" s="30" t="n">
        <f aca="false">IFERROR((G10-F10)/F10,0)</f>
        <v>1.08</v>
      </c>
      <c r="I10" s="28" t="s">
        <v>20</v>
      </c>
      <c r="J10" s="28" t="s">
        <v>219</v>
      </c>
      <c r="K10" s="28" t="n">
        <v>7</v>
      </c>
      <c r="L10" s="28" t="n">
        <v>8</v>
      </c>
      <c r="M10" s="28" t="n">
        <v>3</v>
      </c>
      <c r="N10" s="7" t="s">
        <v>220</v>
      </c>
      <c r="O10" s="7" t="s">
        <v>373</v>
      </c>
    </row>
    <row r="11" customFormat="false" ht="23.25" hidden="false" customHeight="true" outlineLevel="0" collapsed="false">
      <c r="A11" s="28" t="n">
        <v>7</v>
      </c>
      <c r="B11" s="7" t="s">
        <v>374</v>
      </c>
      <c r="C11" s="7" t="s">
        <v>372</v>
      </c>
      <c r="D11" s="7" t="s">
        <v>356</v>
      </c>
      <c r="E11" s="28" t="s">
        <v>322</v>
      </c>
      <c r="F11" s="29" t="n">
        <v>130</v>
      </c>
      <c r="G11" s="29" t="n">
        <v>250</v>
      </c>
      <c r="H11" s="30" t="n">
        <f aca="false">IFERROR((G11-F11)/F11,0)</f>
        <v>0.923076923076923</v>
      </c>
      <c r="I11" s="28" t="s">
        <v>20</v>
      </c>
      <c r="J11" s="28" t="s">
        <v>219</v>
      </c>
      <c r="K11" s="28" t="n">
        <v>7</v>
      </c>
      <c r="L11" s="28" t="n">
        <v>8</v>
      </c>
      <c r="M11" s="28" t="n">
        <v>3</v>
      </c>
      <c r="N11" s="7" t="s">
        <v>220</v>
      </c>
      <c r="O11" s="7" t="s">
        <v>375</v>
      </c>
    </row>
    <row r="12" customFormat="false" ht="23.25" hidden="false" customHeight="true" outlineLevel="0" collapsed="false">
      <c r="A12" s="28" t="n">
        <v>8</v>
      </c>
      <c r="B12" s="7" t="s">
        <v>376</v>
      </c>
      <c r="C12" s="7" t="s">
        <v>377</v>
      </c>
      <c r="D12" s="7" t="s">
        <v>356</v>
      </c>
      <c r="E12" s="28" t="s">
        <v>322</v>
      </c>
      <c r="F12" s="29" t="n">
        <v>110</v>
      </c>
      <c r="G12" s="29" t="n">
        <v>210</v>
      </c>
      <c r="H12" s="30" t="n">
        <f aca="false">IFERROR((G12-F12)/F12,0)</f>
        <v>0.909090909090909</v>
      </c>
      <c r="I12" s="28" t="s">
        <v>20</v>
      </c>
      <c r="J12" s="28" t="s">
        <v>219</v>
      </c>
      <c r="K12" s="28" t="n">
        <v>6</v>
      </c>
      <c r="L12" s="28" t="n">
        <v>7</v>
      </c>
      <c r="M12" s="28" t="n">
        <v>3</v>
      </c>
      <c r="N12" s="7" t="s">
        <v>215</v>
      </c>
      <c r="O12" s="7" t="s">
        <v>378</v>
      </c>
    </row>
    <row r="13" customFormat="false" ht="23.25" hidden="false" customHeight="true" outlineLevel="0" collapsed="false">
      <c r="A13" s="28" t="n">
        <v>9</v>
      </c>
      <c r="B13" s="7" t="s">
        <v>379</v>
      </c>
      <c r="C13" s="7" t="s">
        <v>380</v>
      </c>
      <c r="D13" s="7" t="s">
        <v>381</v>
      </c>
      <c r="E13" s="28" t="s">
        <v>322</v>
      </c>
      <c r="F13" s="29" t="n">
        <v>80</v>
      </c>
      <c r="G13" s="29" t="n">
        <v>180</v>
      </c>
      <c r="H13" s="30" t="n">
        <f aca="false">IFERROR((G13-F13)/F13,0)</f>
        <v>1.25</v>
      </c>
      <c r="I13" s="28" t="s">
        <v>20</v>
      </c>
      <c r="J13" s="28" t="s">
        <v>219</v>
      </c>
      <c r="K13" s="28" t="n">
        <v>6</v>
      </c>
      <c r="L13" s="28" t="n">
        <v>7</v>
      </c>
      <c r="M13" s="28" t="n">
        <v>3</v>
      </c>
      <c r="N13" s="7" t="s">
        <v>220</v>
      </c>
      <c r="O13" s="7" t="s">
        <v>382</v>
      </c>
    </row>
    <row r="14" customFormat="false" ht="23.25" hidden="false" customHeight="true" outlineLevel="0" collapsed="false">
      <c r="A14" s="28" t="n">
        <v>10</v>
      </c>
      <c r="B14" s="7" t="s">
        <v>383</v>
      </c>
      <c r="C14" s="7" t="s">
        <v>380</v>
      </c>
      <c r="D14" s="7" t="s">
        <v>356</v>
      </c>
      <c r="E14" s="28" t="s">
        <v>322</v>
      </c>
      <c r="F14" s="29" t="n">
        <v>95</v>
      </c>
      <c r="G14" s="29" t="n">
        <v>190</v>
      </c>
      <c r="H14" s="30" t="n">
        <f aca="false">IFERROR((G14-F14)/F14,0)</f>
        <v>1</v>
      </c>
      <c r="I14" s="28" t="s">
        <v>20</v>
      </c>
      <c r="J14" s="28" t="s">
        <v>219</v>
      </c>
      <c r="K14" s="28" t="n">
        <v>6</v>
      </c>
      <c r="L14" s="28" t="n">
        <v>7</v>
      </c>
      <c r="M14" s="28" t="n">
        <v>3</v>
      </c>
      <c r="N14" s="7" t="s">
        <v>215</v>
      </c>
      <c r="O14" s="7" t="s">
        <v>384</v>
      </c>
    </row>
    <row r="16" customFormat="false" ht="15" hidden="false" customHeight="true" outlineLevel="0" collapsed="false">
      <c r="B16" s="31" t="s">
        <v>269</v>
      </c>
      <c r="F16" s="32" t="n">
        <f aca="false">AVERAGE(F5:F14)</f>
        <v>128.5</v>
      </c>
      <c r="G16" s="32" t="n">
        <f aca="false">AVERAGE(G5:G14)</f>
        <v>264</v>
      </c>
      <c r="H16" s="33" t="n">
        <f aca="false">AVERAGE(H5:H14)</f>
        <v>1.06479736929737</v>
      </c>
      <c r="K16" s="34" t="n">
        <f aca="false">AVERAGE(K5:K14)</f>
        <v>6.7</v>
      </c>
      <c r="L16" s="34" t="n">
        <f aca="false">AVERAGE(L5:L14)</f>
        <v>8</v>
      </c>
    </row>
  </sheetData>
  <mergeCells count="2">
    <mergeCell ref="A1:O1"/>
    <mergeCell ref="A2:O2"/>
  </mergeCells>
  <conditionalFormatting sqref="L5:L14">
    <cfRule type="colorScale" priority="2">
      <colorScale>
        <cfvo type="num" val="1"/>
        <cfvo type="num" val="5"/>
        <cfvo type="num" val="10"/>
        <color rgb="FFF8696B"/>
        <color rgb="FFFFEB84"/>
        <color rgb="FF63BE7B"/>
      </colorScale>
    </cfRule>
  </conditionalFormatting>
  <conditionalFormatting sqref="H5:H14">
    <cfRule type="colorScale" priority="3">
      <colorScale>
        <cfvo type="num" val="-0.2"/>
        <cfvo type="num" val="0.5"/>
        <cfvo type="num" val="2"/>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4" min="3" style="1" width="22"/>
    <col collapsed="false" customWidth="true" hidden="false" outlineLevel="0" max="5" min="5" style="1" width="11"/>
    <col collapsed="false" customWidth="true" hidden="false" outlineLevel="0" max="7" min="6" style="1" width="12"/>
    <col collapsed="false" customWidth="true" hidden="false" outlineLevel="0" max="8" min="8" style="1" width="9"/>
    <col collapsed="false" customWidth="true" hidden="false" outlineLevel="0" max="9" min="9" style="1" width="12"/>
    <col collapsed="false" customWidth="true" hidden="false" outlineLevel="0" max="11" min="10" style="1" width="10"/>
    <col collapsed="false" customWidth="true" hidden="false" outlineLevel="0" max="12" min="12" style="1" width="11"/>
    <col collapsed="false" customWidth="true" hidden="false" outlineLevel="0" max="13" min="13" style="1" width="8"/>
    <col collapsed="false" customWidth="true" hidden="false" outlineLevel="0" max="14" min="14" style="1" width="22"/>
    <col collapsed="false" customWidth="true" hidden="false" outlineLevel="0" max="15" min="15" style="1" width="45"/>
  </cols>
  <sheetData>
    <row r="1" customFormat="false" ht="19.5" hidden="false" customHeight="true" outlineLevel="0" collapsed="false">
      <c r="A1" s="2" t="s">
        <v>385</v>
      </c>
      <c r="B1" s="2"/>
      <c r="C1" s="2"/>
      <c r="D1" s="2"/>
      <c r="E1" s="2"/>
      <c r="F1" s="2"/>
      <c r="G1" s="2"/>
      <c r="H1" s="2"/>
      <c r="I1" s="2"/>
      <c r="J1" s="2"/>
      <c r="K1" s="2"/>
      <c r="L1" s="2"/>
      <c r="M1" s="2"/>
      <c r="N1" s="2"/>
      <c r="O1" s="2"/>
    </row>
    <row r="2" customFormat="false" ht="15" hidden="false" customHeight="true" outlineLevel="0" collapsed="false">
      <c r="A2" s="3" t="s">
        <v>386</v>
      </c>
      <c r="B2" s="3"/>
      <c r="C2" s="3"/>
      <c r="D2" s="3"/>
      <c r="E2" s="3"/>
      <c r="F2" s="3"/>
      <c r="G2" s="3"/>
      <c r="H2" s="3"/>
      <c r="I2" s="3"/>
      <c r="J2" s="3"/>
      <c r="K2" s="3"/>
      <c r="L2" s="3"/>
      <c r="M2" s="3"/>
      <c r="N2" s="3"/>
      <c r="O2" s="3"/>
    </row>
    <row r="4" customFormat="false" ht="26.25" hidden="false" customHeight="true" outlineLevel="0" collapsed="false">
      <c r="A4" s="5" t="s">
        <v>92</v>
      </c>
      <c r="B4" s="5" t="s">
        <v>195</v>
      </c>
      <c r="C4" s="5" t="s">
        <v>139</v>
      </c>
      <c r="D4" s="5" t="s">
        <v>196</v>
      </c>
      <c r="E4" s="5" t="s">
        <v>197</v>
      </c>
      <c r="F4" s="5" t="s">
        <v>198</v>
      </c>
      <c r="G4" s="5" t="s">
        <v>199</v>
      </c>
      <c r="H4" s="5" t="s">
        <v>142</v>
      </c>
      <c r="I4" s="5" t="s">
        <v>200</v>
      </c>
      <c r="J4" s="5" t="s">
        <v>201</v>
      </c>
      <c r="K4" s="5" t="s">
        <v>202</v>
      </c>
      <c r="L4" s="5" t="s">
        <v>203</v>
      </c>
      <c r="M4" s="5" t="s">
        <v>144</v>
      </c>
      <c r="N4" s="5" t="s">
        <v>204</v>
      </c>
      <c r="O4" s="5" t="s">
        <v>205</v>
      </c>
    </row>
    <row r="5" customFormat="false" ht="34.5" hidden="false" customHeight="true" outlineLevel="0" collapsed="false">
      <c r="A5" s="28" t="n">
        <v>1</v>
      </c>
      <c r="B5" s="7" t="s">
        <v>173</v>
      </c>
      <c r="C5" s="7" t="s">
        <v>174</v>
      </c>
      <c r="D5" s="7" t="s">
        <v>387</v>
      </c>
      <c r="E5" s="28" t="s">
        <v>322</v>
      </c>
      <c r="F5" s="29" t="n">
        <v>175</v>
      </c>
      <c r="G5" s="29" t="n">
        <v>340</v>
      </c>
      <c r="H5" s="30" t="n">
        <f aca="false">IFERROR((G5-F5)/F5,0)</f>
        <v>0.942857142857143</v>
      </c>
      <c r="I5" s="28" t="s">
        <v>388</v>
      </c>
      <c r="J5" s="28" t="s">
        <v>219</v>
      </c>
      <c r="K5" s="28" t="n">
        <v>7</v>
      </c>
      <c r="L5" s="28" t="n">
        <v>9</v>
      </c>
      <c r="M5" s="28" t="n">
        <v>4</v>
      </c>
      <c r="N5" s="7" t="s">
        <v>220</v>
      </c>
      <c r="O5" s="7" t="s">
        <v>389</v>
      </c>
    </row>
    <row r="6" customFormat="false" ht="23.25" hidden="false" customHeight="true" outlineLevel="0" collapsed="false">
      <c r="A6" s="28" t="n">
        <v>2</v>
      </c>
      <c r="B6" s="7" t="s">
        <v>390</v>
      </c>
      <c r="C6" s="7" t="s">
        <v>176</v>
      </c>
      <c r="D6" s="7" t="s">
        <v>387</v>
      </c>
      <c r="E6" s="28" t="s">
        <v>322</v>
      </c>
      <c r="F6" s="29" t="n">
        <v>180</v>
      </c>
      <c r="G6" s="29" t="n">
        <v>360</v>
      </c>
      <c r="H6" s="30" t="n">
        <f aca="false">IFERROR((G6-F6)/F6,0)</f>
        <v>1</v>
      </c>
      <c r="I6" s="28" t="s">
        <v>391</v>
      </c>
      <c r="J6" s="28" t="s">
        <v>219</v>
      </c>
      <c r="K6" s="28" t="n">
        <v>7</v>
      </c>
      <c r="L6" s="28" t="n">
        <v>9</v>
      </c>
      <c r="M6" s="28" t="n">
        <v>5</v>
      </c>
      <c r="N6" s="7" t="s">
        <v>220</v>
      </c>
      <c r="O6" s="7" t="s">
        <v>392</v>
      </c>
    </row>
    <row r="7" customFormat="false" ht="23.25" hidden="false" customHeight="true" outlineLevel="0" collapsed="false">
      <c r="A7" s="28" t="n">
        <v>3</v>
      </c>
      <c r="B7" s="7" t="s">
        <v>393</v>
      </c>
      <c r="C7" s="7" t="s">
        <v>394</v>
      </c>
      <c r="D7" s="7" t="s">
        <v>387</v>
      </c>
      <c r="E7" s="28" t="s">
        <v>322</v>
      </c>
      <c r="F7" s="29" t="n">
        <v>155</v>
      </c>
      <c r="G7" s="29" t="n">
        <v>300</v>
      </c>
      <c r="H7" s="30" t="n">
        <f aca="false">IFERROR((G7-F7)/F7,0)</f>
        <v>0.935483870967742</v>
      </c>
      <c r="I7" s="28" t="s">
        <v>20</v>
      </c>
      <c r="J7" s="28" t="s">
        <v>219</v>
      </c>
      <c r="K7" s="28" t="n">
        <v>6</v>
      </c>
      <c r="L7" s="28" t="n">
        <v>8</v>
      </c>
      <c r="M7" s="28" t="n">
        <v>4</v>
      </c>
      <c r="N7" s="7" t="s">
        <v>324</v>
      </c>
      <c r="O7" s="7" t="s">
        <v>395</v>
      </c>
    </row>
    <row r="8" customFormat="false" ht="15" hidden="false" customHeight="true" outlineLevel="0" collapsed="false">
      <c r="A8" s="28" t="n">
        <v>4</v>
      </c>
      <c r="B8" s="7" t="s">
        <v>396</v>
      </c>
      <c r="C8" s="7" t="s">
        <v>176</v>
      </c>
      <c r="D8" s="7" t="s">
        <v>387</v>
      </c>
      <c r="E8" s="28" t="s">
        <v>322</v>
      </c>
      <c r="F8" s="29" t="n">
        <v>160</v>
      </c>
      <c r="G8" s="29" t="n">
        <v>310</v>
      </c>
      <c r="H8" s="30" t="n">
        <f aca="false">IFERROR((G8-F8)/F8,0)</f>
        <v>0.9375</v>
      </c>
      <c r="I8" s="28" t="s">
        <v>20</v>
      </c>
      <c r="J8" s="28" t="s">
        <v>219</v>
      </c>
      <c r="K8" s="28" t="n">
        <v>7</v>
      </c>
      <c r="L8" s="28" t="n">
        <v>8</v>
      </c>
      <c r="M8" s="28" t="n">
        <v>4</v>
      </c>
      <c r="N8" s="7" t="s">
        <v>220</v>
      </c>
      <c r="O8" s="7" t="s">
        <v>397</v>
      </c>
    </row>
    <row r="9" customFormat="false" ht="15" hidden="false" customHeight="true" outlineLevel="0" collapsed="false">
      <c r="A9" s="28" t="n">
        <v>5</v>
      </c>
      <c r="B9" s="7" t="s">
        <v>398</v>
      </c>
      <c r="C9" s="7" t="s">
        <v>399</v>
      </c>
      <c r="D9" s="7" t="s">
        <v>387</v>
      </c>
      <c r="E9" s="28" t="s">
        <v>322</v>
      </c>
      <c r="F9" s="29" t="n">
        <v>165</v>
      </c>
      <c r="G9" s="29" t="n">
        <v>310</v>
      </c>
      <c r="H9" s="30" t="n">
        <f aca="false">IFERROR((G9-F9)/F9,0)</f>
        <v>0.878787878787879</v>
      </c>
      <c r="I9" s="28" t="s">
        <v>20</v>
      </c>
      <c r="J9" s="28" t="s">
        <v>219</v>
      </c>
      <c r="K9" s="28" t="n">
        <v>7</v>
      </c>
      <c r="L9" s="28" t="n">
        <v>8</v>
      </c>
      <c r="M9" s="28" t="n">
        <v>4</v>
      </c>
      <c r="N9" s="7" t="s">
        <v>220</v>
      </c>
      <c r="O9" s="7" t="s">
        <v>400</v>
      </c>
    </row>
    <row r="10" customFormat="false" ht="15" hidden="false" customHeight="true" outlineLevel="0" collapsed="false">
      <c r="A10" s="28" t="n">
        <v>6</v>
      </c>
      <c r="B10" s="7" t="s">
        <v>401</v>
      </c>
      <c r="C10" s="7" t="s">
        <v>402</v>
      </c>
      <c r="D10" s="7" t="s">
        <v>387</v>
      </c>
      <c r="E10" s="28" t="s">
        <v>322</v>
      </c>
      <c r="F10" s="29" t="n">
        <v>140</v>
      </c>
      <c r="G10" s="29" t="n">
        <v>260</v>
      </c>
      <c r="H10" s="30" t="n">
        <f aca="false">IFERROR((G10-F10)/F10,0)</f>
        <v>0.857142857142857</v>
      </c>
      <c r="I10" s="28" t="s">
        <v>20</v>
      </c>
      <c r="J10" s="28" t="s">
        <v>219</v>
      </c>
      <c r="K10" s="28" t="n">
        <v>6</v>
      </c>
      <c r="L10" s="28" t="n">
        <v>7</v>
      </c>
      <c r="M10" s="28" t="n">
        <v>4</v>
      </c>
      <c r="N10" s="7" t="s">
        <v>220</v>
      </c>
      <c r="O10" s="7" t="s">
        <v>403</v>
      </c>
    </row>
    <row r="11" customFormat="false" ht="23.25" hidden="false" customHeight="true" outlineLevel="0" collapsed="false">
      <c r="A11" s="28" t="n">
        <v>7</v>
      </c>
      <c r="B11" s="7" t="s">
        <v>404</v>
      </c>
      <c r="C11" s="7" t="s">
        <v>394</v>
      </c>
      <c r="D11" s="7" t="s">
        <v>387</v>
      </c>
      <c r="E11" s="28" t="s">
        <v>322</v>
      </c>
      <c r="F11" s="29" t="n">
        <v>145</v>
      </c>
      <c r="G11" s="29" t="n">
        <v>270</v>
      </c>
      <c r="H11" s="30" t="n">
        <f aca="false">IFERROR((G11-F11)/F11,0)</f>
        <v>0.862068965517241</v>
      </c>
      <c r="I11" s="28" t="s">
        <v>20</v>
      </c>
      <c r="J11" s="28" t="s">
        <v>219</v>
      </c>
      <c r="K11" s="28" t="n">
        <v>6</v>
      </c>
      <c r="L11" s="28" t="n">
        <v>7</v>
      </c>
      <c r="M11" s="28" t="n">
        <v>4</v>
      </c>
      <c r="N11" s="7" t="s">
        <v>220</v>
      </c>
      <c r="O11" s="7" t="s">
        <v>405</v>
      </c>
    </row>
    <row r="12" customFormat="false" ht="15" hidden="false" customHeight="true" outlineLevel="0" collapsed="false">
      <c r="A12" s="28" t="n">
        <v>8</v>
      </c>
      <c r="B12" s="7" t="s">
        <v>406</v>
      </c>
      <c r="C12" s="7" t="s">
        <v>407</v>
      </c>
      <c r="D12" s="7" t="s">
        <v>387</v>
      </c>
      <c r="E12" s="28" t="s">
        <v>322</v>
      </c>
      <c r="F12" s="29" t="n">
        <v>120</v>
      </c>
      <c r="G12" s="29" t="n">
        <v>220</v>
      </c>
      <c r="H12" s="30" t="n">
        <f aca="false">IFERROR((G12-F12)/F12,0)</f>
        <v>0.833333333333333</v>
      </c>
      <c r="I12" s="28" t="s">
        <v>20</v>
      </c>
      <c r="J12" s="28" t="s">
        <v>219</v>
      </c>
      <c r="K12" s="28" t="n">
        <v>5</v>
      </c>
      <c r="L12" s="28" t="n">
        <v>6</v>
      </c>
      <c r="M12" s="28" t="n">
        <v>3</v>
      </c>
      <c r="N12" s="7" t="s">
        <v>220</v>
      </c>
      <c r="O12" s="7" t="s">
        <v>408</v>
      </c>
    </row>
    <row r="14" customFormat="false" ht="15" hidden="false" customHeight="true" outlineLevel="0" collapsed="false">
      <c r="B14" s="31" t="s">
        <v>269</v>
      </c>
      <c r="F14" s="32" t="n">
        <f aca="false">AVERAGE(F5:F12)</f>
        <v>155</v>
      </c>
      <c r="G14" s="32" t="n">
        <f aca="false">AVERAGE(G5:G12)</f>
        <v>296.25</v>
      </c>
      <c r="H14" s="33" t="n">
        <f aca="false">AVERAGE(H5:H12)</f>
        <v>0.905896756075775</v>
      </c>
      <c r="K14" s="34" t="n">
        <f aca="false">AVERAGE(K5:K12)</f>
        <v>6.375</v>
      </c>
      <c r="L14" s="34" t="n">
        <f aca="false">AVERAGE(L5:L12)</f>
        <v>7.75</v>
      </c>
    </row>
  </sheetData>
  <mergeCells count="2">
    <mergeCell ref="A1:O1"/>
    <mergeCell ref="A2:O2"/>
  </mergeCells>
  <conditionalFormatting sqref="L5:L12">
    <cfRule type="colorScale" priority="2">
      <colorScale>
        <cfvo type="num" val="1"/>
        <cfvo type="num" val="5"/>
        <cfvo type="num" val="10"/>
        <color rgb="FFF8696B"/>
        <color rgb="FFFFEB84"/>
        <color rgb="FF63BE7B"/>
      </colorScale>
    </cfRule>
  </conditionalFormatting>
  <conditionalFormatting sqref="H5:H12">
    <cfRule type="colorScale" priority="3">
      <colorScale>
        <cfvo type="num" val="-0.2"/>
        <cfvo type="num" val="0.5"/>
        <cfvo type="num" val="2"/>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4" min="3" style="1" width="22"/>
    <col collapsed="false" customWidth="true" hidden="false" outlineLevel="0" max="5" min="5" style="1" width="11"/>
    <col collapsed="false" customWidth="true" hidden="false" outlineLevel="0" max="7" min="6" style="1" width="12"/>
    <col collapsed="false" customWidth="true" hidden="false" outlineLevel="0" max="8" min="8" style="1" width="9"/>
    <col collapsed="false" customWidth="true" hidden="false" outlineLevel="0" max="9" min="9" style="1" width="12"/>
    <col collapsed="false" customWidth="true" hidden="false" outlineLevel="0" max="11" min="10" style="1" width="10"/>
    <col collapsed="false" customWidth="true" hidden="false" outlineLevel="0" max="12" min="12" style="1" width="11"/>
    <col collapsed="false" customWidth="true" hidden="false" outlineLevel="0" max="13" min="13" style="1" width="8"/>
    <col collapsed="false" customWidth="true" hidden="false" outlineLevel="0" max="14" min="14" style="1" width="22"/>
    <col collapsed="false" customWidth="true" hidden="false" outlineLevel="0" max="15" min="15" style="1" width="45"/>
  </cols>
  <sheetData>
    <row r="1" customFormat="false" ht="19.5" hidden="false" customHeight="true" outlineLevel="0" collapsed="false">
      <c r="A1" s="2" t="s">
        <v>409</v>
      </c>
      <c r="B1" s="2"/>
      <c r="C1" s="2"/>
      <c r="D1" s="2"/>
      <c r="E1" s="2"/>
      <c r="F1" s="2"/>
      <c r="G1" s="2"/>
      <c r="H1" s="2"/>
      <c r="I1" s="2"/>
      <c r="J1" s="2"/>
      <c r="K1" s="2"/>
      <c r="L1" s="2"/>
      <c r="M1" s="2"/>
      <c r="N1" s="2"/>
      <c r="O1" s="2"/>
    </row>
    <row r="2" customFormat="false" ht="15" hidden="false" customHeight="true" outlineLevel="0" collapsed="false">
      <c r="A2" s="3" t="s">
        <v>410</v>
      </c>
      <c r="B2" s="3"/>
      <c r="C2" s="3"/>
      <c r="D2" s="3"/>
      <c r="E2" s="3"/>
      <c r="F2" s="3"/>
      <c r="G2" s="3"/>
      <c r="H2" s="3"/>
      <c r="I2" s="3"/>
      <c r="J2" s="3"/>
      <c r="K2" s="3"/>
      <c r="L2" s="3"/>
      <c r="M2" s="3"/>
      <c r="N2" s="3"/>
      <c r="O2" s="3"/>
    </row>
    <row r="4" customFormat="false" ht="26.25" hidden="false" customHeight="true" outlineLevel="0" collapsed="false">
      <c r="A4" s="5" t="s">
        <v>92</v>
      </c>
      <c r="B4" s="5" t="s">
        <v>195</v>
      </c>
      <c r="C4" s="5" t="s">
        <v>139</v>
      </c>
      <c r="D4" s="5" t="s">
        <v>196</v>
      </c>
      <c r="E4" s="5" t="s">
        <v>197</v>
      </c>
      <c r="F4" s="5" t="s">
        <v>198</v>
      </c>
      <c r="G4" s="5" t="s">
        <v>199</v>
      </c>
      <c r="H4" s="5" t="s">
        <v>142</v>
      </c>
      <c r="I4" s="5" t="s">
        <v>200</v>
      </c>
      <c r="J4" s="5" t="s">
        <v>201</v>
      </c>
      <c r="K4" s="5" t="s">
        <v>202</v>
      </c>
      <c r="L4" s="5" t="s">
        <v>203</v>
      </c>
      <c r="M4" s="5" t="s">
        <v>144</v>
      </c>
      <c r="N4" s="5" t="s">
        <v>204</v>
      </c>
      <c r="O4" s="5" t="s">
        <v>205</v>
      </c>
    </row>
    <row r="5" customFormat="false" ht="23.25" hidden="false" customHeight="true" outlineLevel="0" collapsed="false">
      <c r="A5" s="28" t="n">
        <v>1</v>
      </c>
      <c r="B5" s="7" t="s">
        <v>162</v>
      </c>
      <c r="C5" s="7" t="s">
        <v>411</v>
      </c>
      <c r="D5" s="7" t="s">
        <v>412</v>
      </c>
      <c r="E5" s="28" t="s">
        <v>296</v>
      </c>
      <c r="F5" s="29" t="n">
        <v>190</v>
      </c>
      <c r="G5" s="29" t="n">
        <v>380</v>
      </c>
      <c r="H5" s="30" t="n">
        <f aca="false">IFERROR((G5-F5)/F5,0)</f>
        <v>1</v>
      </c>
      <c r="I5" s="28" t="s">
        <v>360</v>
      </c>
      <c r="J5" s="28" t="s">
        <v>219</v>
      </c>
      <c r="K5" s="28" t="n">
        <v>7</v>
      </c>
      <c r="L5" s="28" t="n">
        <v>9</v>
      </c>
      <c r="M5" s="28" t="n">
        <v>5</v>
      </c>
      <c r="N5" s="7" t="s">
        <v>413</v>
      </c>
      <c r="O5" s="7" t="s">
        <v>414</v>
      </c>
    </row>
    <row r="6" customFormat="false" ht="23.25" hidden="false" customHeight="true" outlineLevel="0" collapsed="false">
      <c r="A6" s="28" t="n">
        <v>2</v>
      </c>
      <c r="B6" s="7" t="s">
        <v>190</v>
      </c>
      <c r="C6" s="7" t="s">
        <v>415</v>
      </c>
      <c r="D6" s="7" t="s">
        <v>412</v>
      </c>
      <c r="E6" s="28" t="s">
        <v>296</v>
      </c>
      <c r="F6" s="29" t="n">
        <v>125</v>
      </c>
      <c r="G6" s="29" t="n">
        <v>240</v>
      </c>
      <c r="H6" s="30" t="n">
        <f aca="false">IFERROR((G6-F6)/F6,0)</f>
        <v>0.92</v>
      </c>
      <c r="I6" s="28" t="s">
        <v>360</v>
      </c>
      <c r="J6" s="28" t="s">
        <v>219</v>
      </c>
      <c r="K6" s="28" t="n">
        <v>6</v>
      </c>
      <c r="L6" s="28" t="n">
        <v>8</v>
      </c>
      <c r="M6" s="28" t="n">
        <v>4</v>
      </c>
      <c r="N6" s="7" t="s">
        <v>220</v>
      </c>
      <c r="O6" s="7" t="s">
        <v>416</v>
      </c>
    </row>
    <row r="7" customFormat="false" ht="23.25" hidden="false" customHeight="true" outlineLevel="0" collapsed="false">
      <c r="A7" s="28" t="n">
        <v>3</v>
      </c>
      <c r="B7" s="7" t="s">
        <v>417</v>
      </c>
      <c r="C7" s="7" t="s">
        <v>418</v>
      </c>
      <c r="D7" s="7" t="s">
        <v>412</v>
      </c>
      <c r="E7" s="28" t="s">
        <v>296</v>
      </c>
      <c r="F7" s="29" t="n">
        <v>95</v>
      </c>
      <c r="G7" s="29" t="n">
        <v>190</v>
      </c>
      <c r="H7" s="30" t="n">
        <f aca="false">IFERROR((G7-F7)/F7,0)</f>
        <v>1</v>
      </c>
      <c r="I7" s="28" t="s">
        <v>360</v>
      </c>
      <c r="J7" s="28" t="s">
        <v>219</v>
      </c>
      <c r="K7" s="28" t="n">
        <v>6</v>
      </c>
      <c r="L7" s="28" t="n">
        <v>8</v>
      </c>
      <c r="M7" s="28" t="n">
        <v>4</v>
      </c>
      <c r="N7" s="7" t="s">
        <v>220</v>
      </c>
      <c r="O7" s="7" t="s">
        <v>419</v>
      </c>
    </row>
    <row r="8" customFormat="false" ht="15" hidden="false" customHeight="true" outlineLevel="0" collapsed="false">
      <c r="A8" s="28" t="n">
        <v>4</v>
      </c>
      <c r="B8" s="7" t="s">
        <v>420</v>
      </c>
      <c r="C8" s="7" t="s">
        <v>421</v>
      </c>
      <c r="D8" s="7" t="s">
        <v>412</v>
      </c>
      <c r="E8" s="28" t="s">
        <v>296</v>
      </c>
      <c r="F8" s="29" t="n">
        <v>145</v>
      </c>
      <c r="G8" s="29" t="n">
        <v>280</v>
      </c>
      <c r="H8" s="30" t="n">
        <f aca="false">IFERROR((G8-F8)/F8,0)</f>
        <v>0.931034482758621</v>
      </c>
      <c r="I8" s="28" t="s">
        <v>360</v>
      </c>
      <c r="J8" s="28" t="s">
        <v>219</v>
      </c>
      <c r="K8" s="28" t="n">
        <v>6</v>
      </c>
      <c r="L8" s="28" t="n">
        <v>8</v>
      </c>
      <c r="M8" s="28" t="n">
        <v>4</v>
      </c>
      <c r="N8" s="7" t="s">
        <v>305</v>
      </c>
      <c r="O8" s="7" t="s">
        <v>422</v>
      </c>
    </row>
    <row r="9" customFormat="false" ht="23.25" hidden="false" customHeight="true" outlineLevel="0" collapsed="false">
      <c r="A9" s="28" t="n">
        <v>5</v>
      </c>
      <c r="B9" s="7" t="s">
        <v>423</v>
      </c>
      <c r="C9" s="7" t="s">
        <v>411</v>
      </c>
      <c r="D9" s="7" t="s">
        <v>412</v>
      </c>
      <c r="E9" s="28" t="s">
        <v>296</v>
      </c>
      <c r="F9" s="29" t="n">
        <v>170</v>
      </c>
      <c r="G9" s="29" t="n">
        <v>320</v>
      </c>
      <c r="H9" s="30" t="n">
        <f aca="false">IFERROR((G9-F9)/F9,0)</f>
        <v>0.882352941176471</v>
      </c>
      <c r="I9" s="28" t="s">
        <v>360</v>
      </c>
      <c r="J9" s="28" t="s">
        <v>219</v>
      </c>
      <c r="K9" s="28" t="n">
        <v>6</v>
      </c>
      <c r="L9" s="28" t="n">
        <v>8</v>
      </c>
      <c r="M9" s="28" t="n">
        <v>5</v>
      </c>
      <c r="N9" s="7" t="s">
        <v>220</v>
      </c>
      <c r="O9" s="7" t="s">
        <v>424</v>
      </c>
    </row>
    <row r="10" customFormat="false" ht="15" hidden="false" customHeight="true" outlineLevel="0" collapsed="false">
      <c r="A10" s="28" t="n">
        <v>6</v>
      </c>
      <c r="B10" s="7" t="s">
        <v>425</v>
      </c>
      <c r="C10" s="7" t="s">
        <v>421</v>
      </c>
      <c r="D10" s="7" t="s">
        <v>412</v>
      </c>
      <c r="E10" s="28" t="s">
        <v>296</v>
      </c>
      <c r="F10" s="29" t="n">
        <v>160</v>
      </c>
      <c r="G10" s="29" t="n">
        <v>300</v>
      </c>
      <c r="H10" s="30" t="n">
        <f aca="false">IFERROR((G10-F10)/F10,0)</f>
        <v>0.875</v>
      </c>
      <c r="I10" s="28" t="s">
        <v>360</v>
      </c>
      <c r="J10" s="28" t="s">
        <v>219</v>
      </c>
      <c r="K10" s="28" t="n">
        <v>6</v>
      </c>
      <c r="L10" s="28" t="n">
        <v>8</v>
      </c>
      <c r="M10" s="28" t="n">
        <v>4</v>
      </c>
      <c r="N10" s="7" t="s">
        <v>220</v>
      </c>
      <c r="O10" s="7" t="s">
        <v>426</v>
      </c>
    </row>
    <row r="11" customFormat="false" ht="15" hidden="false" customHeight="true" outlineLevel="0" collapsed="false">
      <c r="A11" s="28" t="n">
        <v>7</v>
      </c>
      <c r="B11" s="7" t="s">
        <v>427</v>
      </c>
      <c r="C11" s="7" t="s">
        <v>428</v>
      </c>
      <c r="D11" s="7" t="s">
        <v>429</v>
      </c>
      <c r="E11" s="28" t="s">
        <v>296</v>
      </c>
      <c r="F11" s="29" t="n">
        <v>85</v>
      </c>
      <c r="G11" s="29" t="n">
        <v>170</v>
      </c>
      <c r="H11" s="30" t="n">
        <f aca="false">IFERROR((G11-F11)/F11,0)</f>
        <v>1</v>
      </c>
      <c r="I11" s="28" t="s">
        <v>20</v>
      </c>
      <c r="J11" s="28" t="s">
        <v>219</v>
      </c>
      <c r="K11" s="28" t="n">
        <v>7</v>
      </c>
      <c r="L11" s="28" t="n">
        <v>7</v>
      </c>
      <c r="M11" s="28" t="n">
        <v>3</v>
      </c>
      <c r="N11" s="7" t="s">
        <v>220</v>
      </c>
      <c r="O11" s="7" t="s">
        <v>430</v>
      </c>
    </row>
    <row r="12" customFormat="false" ht="15" hidden="false" customHeight="true" outlineLevel="0" collapsed="false">
      <c r="A12" s="28" t="n">
        <v>8</v>
      </c>
      <c r="B12" s="7" t="s">
        <v>431</v>
      </c>
      <c r="C12" s="7" t="s">
        <v>432</v>
      </c>
      <c r="D12" s="7" t="s">
        <v>433</v>
      </c>
      <c r="E12" s="28" t="s">
        <v>296</v>
      </c>
      <c r="F12" s="29" t="n">
        <v>70</v>
      </c>
      <c r="G12" s="29" t="n">
        <v>145</v>
      </c>
      <c r="H12" s="30" t="n">
        <f aca="false">IFERROR((G12-F12)/F12,0)</f>
        <v>1.07142857142857</v>
      </c>
      <c r="I12" s="28" t="s">
        <v>20</v>
      </c>
      <c r="J12" s="28" t="s">
        <v>219</v>
      </c>
      <c r="K12" s="28" t="n">
        <v>6</v>
      </c>
      <c r="L12" s="28" t="n">
        <v>7</v>
      </c>
      <c r="M12" s="28" t="n">
        <v>3</v>
      </c>
      <c r="N12" s="7" t="s">
        <v>220</v>
      </c>
      <c r="O12" s="7" t="s">
        <v>434</v>
      </c>
    </row>
    <row r="14" customFormat="false" ht="15" hidden="false" customHeight="true" outlineLevel="0" collapsed="false">
      <c r="B14" s="31" t="s">
        <v>269</v>
      </c>
      <c r="F14" s="32" t="n">
        <f aca="false">AVERAGE(F5:F12)</f>
        <v>130</v>
      </c>
      <c r="G14" s="32" t="n">
        <f aca="false">AVERAGE(G5:G12)</f>
        <v>253.125</v>
      </c>
      <c r="H14" s="33" t="n">
        <f aca="false">AVERAGE(H5:H12)</f>
        <v>0.959976999420458</v>
      </c>
      <c r="K14" s="34" t="n">
        <f aca="false">AVERAGE(K5:K12)</f>
        <v>6.25</v>
      </c>
      <c r="L14" s="34" t="n">
        <f aca="false">AVERAGE(L5:L12)</f>
        <v>7.875</v>
      </c>
    </row>
  </sheetData>
  <mergeCells count="2">
    <mergeCell ref="A1:O1"/>
    <mergeCell ref="A2:O2"/>
  </mergeCells>
  <conditionalFormatting sqref="L5:L12">
    <cfRule type="colorScale" priority="2">
      <colorScale>
        <cfvo type="num" val="1"/>
        <cfvo type="num" val="5"/>
        <cfvo type="num" val="10"/>
        <color rgb="FFF8696B"/>
        <color rgb="FFFFEB84"/>
        <color rgb="FF63BE7B"/>
      </colorScale>
    </cfRule>
  </conditionalFormatting>
  <conditionalFormatting sqref="H5:H12">
    <cfRule type="colorScale" priority="3">
      <colorScale>
        <cfvo type="num" val="-0.2"/>
        <cfvo type="num" val="0.5"/>
        <cfvo type="num" val="2"/>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4" min="3" style="1" width="22"/>
    <col collapsed="false" customWidth="true" hidden="false" outlineLevel="0" max="5" min="5" style="1" width="11"/>
    <col collapsed="false" customWidth="true" hidden="false" outlineLevel="0" max="7" min="6" style="1" width="12"/>
    <col collapsed="false" customWidth="true" hidden="false" outlineLevel="0" max="8" min="8" style="1" width="9"/>
    <col collapsed="false" customWidth="true" hidden="false" outlineLevel="0" max="9" min="9" style="1" width="12"/>
    <col collapsed="false" customWidth="true" hidden="false" outlineLevel="0" max="11" min="10" style="1" width="10"/>
    <col collapsed="false" customWidth="true" hidden="false" outlineLevel="0" max="12" min="12" style="1" width="11"/>
    <col collapsed="false" customWidth="true" hidden="false" outlineLevel="0" max="13" min="13" style="1" width="8"/>
    <col collapsed="false" customWidth="true" hidden="false" outlineLevel="0" max="14" min="14" style="1" width="22"/>
    <col collapsed="false" customWidth="true" hidden="false" outlineLevel="0" max="15" min="15" style="1" width="45"/>
  </cols>
  <sheetData>
    <row r="1" customFormat="false" ht="19.5" hidden="false" customHeight="true" outlineLevel="0" collapsed="false">
      <c r="A1" s="2" t="s">
        <v>435</v>
      </c>
      <c r="B1" s="2"/>
      <c r="C1" s="2"/>
      <c r="D1" s="2"/>
      <c r="E1" s="2"/>
      <c r="F1" s="2"/>
      <c r="G1" s="2"/>
      <c r="H1" s="2"/>
      <c r="I1" s="2"/>
      <c r="J1" s="2"/>
      <c r="K1" s="2"/>
      <c r="L1" s="2"/>
      <c r="M1" s="2"/>
      <c r="N1" s="2"/>
      <c r="O1" s="2"/>
    </row>
    <row r="2" customFormat="false" ht="15" hidden="false" customHeight="true" outlineLevel="0" collapsed="false">
      <c r="A2" s="3" t="s">
        <v>436</v>
      </c>
      <c r="B2" s="3"/>
      <c r="C2" s="3"/>
      <c r="D2" s="3"/>
      <c r="E2" s="3"/>
      <c r="F2" s="3"/>
      <c r="G2" s="3"/>
      <c r="H2" s="3"/>
      <c r="I2" s="3"/>
      <c r="J2" s="3"/>
      <c r="K2" s="3"/>
      <c r="L2" s="3"/>
      <c r="M2" s="3"/>
      <c r="N2" s="3"/>
      <c r="O2" s="3"/>
    </row>
    <row r="4" customFormat="false" ht="26.25" hidden="false" customHeight="true" outlineLevel="0" collapsed="false">
      <c r="A4" s="5" t="s">
        <v>92</v>
      </c>
      <c r="B4" s="5" t="s">
        <v>195</v>
      </c>
      <c r="C4" s="5" t="s">
        <v>139</v>
      </c>
      <c r="D4" s="5" t="s">
        <v>196</v>
      </c>
      <c r="E4" s="5" t="s">
        <v>197</v>
      </c>
      <c r="F4" s="5" t="s">
        <v>198</v>
      </c>
      <c r="G4" s="5" t="s">
        <v>199</v>
      </c>
      <c r="H4" s="5" t="s">
        <v>142</v>
      </c>
      <c r="I4" s="5" t="s">
        <v>200</v>
      </c>
      <c r="J4" s="5" t="s">
        <v>201</v>
      </c>
      <c r="K4" s="5" t="s">
        <v>202</v>
      </c>
      <c r="L4" s="5" t="s">
        <v>203</v>
      </c>
      <c r="M4" s="5" t="s">
        <v>144</v>
      </c>
      <c r="N4" s="5" t="s">
        <v>204</v>
      </c>
      <c r="O4" s="5" t="s">
        <v>205</v>
      </c>
    </row>
    <row r="5" customFormat="false" ht="23.25" hidden="false" customHeight="true" outlineLevel="0" collapsed="false">
      <c r="A5" s="28" t="n">
        <v>1</v>
      </c>
      <c r="B5" s="7" t="s">
        <v>437</v>
      </c>
      <c r="C5" s="7" t="s">
        <v>438</v>
      </c>
      <c r="D5" s="7" t="s">
        <v>439</v>
      </c>
      <c r="E5" s="28" t="s">
        <v>440</v>
      </c>
      <c r="F5" s="29" t="n">
        <v>190</v>
      </c>
      <c r="G5" s="29" t="n">
        <v>450</v>
      </c>
      <c r="H5" s="30" t="n">
        <f aca="false">IFERROR((G5-F5)/F5,0)</f>
        <v>1.36842105263158</v>
      </c>
      <c r="I5" s="28" t="s">
        <v>20</v>
      </c>
      <c r="J5" s="28" t="s">
        <v>219</v>
      </c>
      <c r="K5" s="28" t="n">
        <v>8</v>
      </c>
      <c r="L5" s="28" t="n">
        <v>9</v>
      </c>
      <c r="M5" s="28" t="n">
        <v>5</v>
      </c>
      <c r="N5" s="7" t="s">
        <v>441</v>
      </c>
      <c r="O5" s="7" t="s">
        <v>442</v>
      </c>
    </row>
    <row r="6" customFormat="false" ht="23.25" hidden="false" customHeight="true" outlineLevel="0" collapsed="false">
      <c r="A6" s="28" t="n">
        <v>2</v>
      </c>
      <c r="B6" s="7" t="s">
        <v>443</v>
      </c>
      <c r="C6" s="7" t="s">
        <v>178</v>
      </c>
      <c r="D6" s="7" t="s">
        <v>444</v>
      </c>
      <c r="E6" s="28" t="s">
        <v>440</v>
      </c>
      <c r="F6" s="29" t="n">
        <v>165</v>
      </c>
      <c r="G6" s="29" t="n">
        <v>380</v>
      </c>
      <c r="H6" s="30" t="n">
        <f aca="false">IFERROR((G6-F6)/F6,0)</f>
        <v>1.3030303030303</v>
      </c>
      <c r="I6" s="28" t="s">
        <v>20</v>
      </c>
      <c r="J6" s="28" t="s">
        <v>219</v>
      </c>
      <c r="K6" s="28" t="n">
        <v>8</v>
      </c>
      <c r="L6" s="28" t="n">
        <v>9</v>
      </c>
      <c r="M6" s="28" t="n">
        <v>5</v>
      </c>
      <c r="N6" s="7" t="s">
        <v>223</v>
      </c>
      <c r="O6" s="7" t="s">
        <v>445</v>
      </c>
    </row>
    <row r="7" customFormat="false" ht="23.25" hidden="false" customHeight="true" outlineLevel="0" collapsed="false">
      <c r="A7" s="28" t="n">
        <v>3</v>
      </c>
      <c r="B7" s="7" t="s">
        <v>446</v>
      </c>
      <c r="C7" s="7" t="s">
        <v>438</v>
      </c>
      <c r="D7" s="7" t="s">
        <v>439</v>
      </c>
      <c r="E7" s="28" t="s">
        <v>440</v>
      </c>
      <c r="F7" s="29" t="n">
        <v>155</v>
      </c>
      <c r="G7" s="29" t="n">
        <v>340</v>
      </c>
      <c r="H7" s="30" t="n">
        <f aca="false">IFERROR((G7-F7)/F7,0)</f>
        <v>1.19354838709677</v>
      </c>
      <c r="I7" s="28" t="s">
        <v>20</v>
      </c>
      <c r="J7" s="28" t="s">
        <v>219</v>
      </c>
      <c r="K7" s="28" t="n">
        <v>7</v>
      </c>
      <c r="L7" s="28" t="n">
        <v>8</v>
      </c>
      <c r="M7" s="28" t="n">
        <v>5</v>
      </c>
      <c r="N7" s="7" t="s">
        <v>441</v>
      </c>
      <c r="O7" s="7" t="s">
        <v>447</v>
      </c>
    </row>
    <row r="8" customFormat="false" ht="23.25" hidden="false" customHeight="true" outlineLevel="0" collapsed="false">
      <c r="A8" s="28" t="n">
        <v>4</v>
      </c>
      <c r="B8" s="7" t="s">
        <v>448</v>
      </c>
      <c r="C8" s="7" t="s">
        <v>178</v>
      </c>
      <c r="D8" s="7" t="s">
        <v>449</v>
      </c>
      <c r="E8" s="28" t="s">
        <v>440</v>
      </c>
      <c r="F8" s="29" t="n">
        <v>110</v>
      </c>
      <c r="G8" s="29" t="n">
        <v>240</v>
      </c>
      <c r="H8" s="30" t="n">
        <f aca="false">IFERROR((G8-F8)/F8,0)</f>
        <v>1.18181818181818</v>
      </c>
      <c r="I8" s="28" t="s">
        <v>20</v>
      </c>
      <c r="J8" s="28" t="s">
        <v>219</v>
      </c>
      <c r="K8" s="28" t="n">
        <v>7</v>
      </c>
      <c r="L8" s="28" t="n">
        <v>8</v>
      </c>
      <c r="M8" s="28" t="n">
        <v>5</v>
      </c>
      <c r="N8" s="7" t="s">
        <v>223</v>
      </c>
      <c r="O8" s="7" t="s">
        <v>450</v>
      </c>
    </row>
    <row r="9" customFormat="false" ht="23.25" hidden="false" customHeight="true" outlineLevel="0" collapsed="false">
      <c r="A9" s="28" t="n">
        <v>5</v>
      </c>
      <c r="B9" s="7" t="s">
        <v>451</v>
      </c>
      <c r="C9" s="7" t="s">
        <v>452</v>
      </c>
      <c r="D9" s="7" t="s">
        <v>453</v>
      </c>
      <c r="E9" s="28" t="s">
        <v>440</v>
      </c>
      <c r="F9" s="29" t="n">
        <v>140</v>
      </c>
      <c r="G9" s="29" t="n">
        <v>280</v>
      </c>
      <c r="H9" s="30" t="n">
        <f aca="false">IFERROR((G9-F9)/F9,0)</f>
        <v>1</v>
      </c>
      <c r="I9" s="28" t="s">
        <v>336</v>
      </c>
      <c r="J9" s="28" t="s">
        <v>209</v>
      </c>
      <c r="K9" s="28" t="n">
        <v>7</v>
      </c>
      <c r="L9" s="28" t="n">
        <v>8</v>
      </c>
      <c r="M9" s="28" t="n">
        <v>5</v>
      </c>
      <c r="N9" s="7" t="s">
        <v>441</v>
      </c>
      <c r="O9" s="7" t="s">
        <v>454</v>
      </c>
    </row>
    <row r="10" customFormat="false" ht="23.25" hidden="false" customHeight="true" outlineLevel="0" collapsed="false">
      <c r="A10" s="28" t="n">
        <v>6</v>
      </c>
      <c r="B10" s="7" t="s">
        <v>455</v>
      </c>
      <c r="C10" s="7" t="s">
        <v>456</v>
      </c>
      <c r="D10" s="7" t="s">
        <v>457</v>
      </c>
      <c r="E10" s="28" t="s">
        <v>458</v>
      </c>
      <c r="F10" s="29" t="n">
        <v>175</v>
      </c>
      <c r="G10" s="29" t="n">
        <v>340</v>
      </c>
      <c r="H10" s="30" t="n">
        <f aca="false">IFERROR((G10-F10)/F10,0)</f>
        <v>0.942857142857143</v>
      </c>
      <c r="I10" s="28" t="s">
        <v>360</v>
      </c>
      <c r="J10" s="28" t="s">
        <v>219</v>
      </c>
      <c r="K10" s="28" t="n">
        <v>8</v>
      </c>
      <c r="L10" s="28" t="n">
        <v>8</v>
      </c>
      <c r="M10" s="28" t="n">
        <v>5</v>
      </c>
      <c r="N10" s="7" t="s">
        <v>223</v>
      </c>
      <c r="O10" s="7" t="s">
        <v>459</v>
      </c>
    </row>
    <row r="11" customFormat="false" ht="15" hidden="false" customHeight="true" outlineLevel="0" collapsed="false">
      <c r="A11" s="28" t="n">
        <v>7</v>
      </c>
      <c r="B11" s="7" t="s">
        <v>460</v>
      </c>
      <c r="C11" s="7" t="s">
        <v>461</v>
      </c>
      <c r="D11" s="7" t="s">
        <v>462</v>
      </c>
      <c r="E11" s="28" t="s">
        <v>261</v>
      </c>
      <c r="F11" s="29" t="n">
        <v>115</v>
      </c>
      <c r="G11" s="29" t="n">
        <v>220</v>
      </c>
      <c r="H11" s="30" t="n">
        <f aca="false">IFERROR((G11-F11)/F11,0)</f>
        <v>0.91304347826087</v>
      </c>
      <c r="I11" s="28" t="s">
        <v>360</v>
      </c>
      <c r="J11" s="28" t="s">
        <v>209</v>
      </c>
      <c r="K11" s="28" t="n">
        <v>9</v>
      </c>
      <c r="L11" s="28" t="n">
        <v>8</v>
      </c>
      <c r="M11" s="28" t="n">
        <v>10</v>
      </c>
      <c r="N11" s="7" t="s">
        <v>441</v>
      </c>
      <c r="O11" s="7" t="s">
        <v>463</v>
      </c>
    </row>
    <row r="12" customFormat="false" ht="23.25" hidden="false" customHeight="true" outlineLevel="0" collapsed="false">
      <c r="A12" s="28" t="n">
        <v>8</v>
      </c>
      <c r="B12" s="7" t="s">
        <v>464</v>
      </c>
      <c r="C12" s="7" t="s">
        <v>465</v>
      </c>
      <c r="D12" s="7" t="s">
        <v>466</v>
      </c>
      <c r="E12" s="28" t="s">
        <v>261</v>
      </c>
      <c r="F12" s="29" t="n">
        <v>85</v>
      </c>
      <c r="G12" s="29" t="n">
        <v>180</v>
      </c>
      <c r="H12" s="30" t="n">
        <f aca="false">IFERROR((G12-F12)/F12,0)</f>
        <v>1.11764705882353</v>
      </c>
      <c r="I12" s="28" t="s">
        <v>20</v>
      </c>
      <c r="J12" s="28" t="s">
        <v>219</v>
      </c>
      <c r="K12" s="28" t="n">
        <v>6</v>
      </c>
      <c r="L12" s="28" t="n">
        <v>7</v>
      </c>
      <c r="M12" s="28" t="n">
        <v>4</v>
      </c>
      <c r="N12" s="7" t="s">
        <v>282</v>
      </c>
      <c r="O12" s="7" t="s">
        <v>467</v>
      </c>
    </row>
    <row r="13" customFormat="false" ht="15" hidden="false" customHeight="true" outlineLevel="0" collapsed="false">
      <c r="A13" s="28" t="n">
        <v>9</v>
      </c>
      <c r="B13" s="7" t="s">
        <v>468</v>
      </c>
      <c r="C13" s="7" t="s">
        <v>178</v>
      </c>
      <c r="D13" s="7" t="s">
        <v>469</v>
      </c>
      <c r="E13" s="28" t="s">
        <v>440</v>
      </c>
      <c r="F13" s="29" t="n">
        <v>95</v>
      </c>
      <c r="G13" s="29" t="n">
        <v>200</v>
      </c>
      <c r="H13" s="30" t="n">
        <f aca="false">IFERROR((G13-F13)/F13,0)</f>
        <v>1.10526315789474</v>
      </c>
      <c r="I13" s="28" t="s">
        <v>20</v>
      </c>
      <c r="J13" s="28" t="s">
        <v>209</v>
      </c>
      <c r="K13" s="28" t="n">
        <v>7</v>
      </c>
      <c r="L13" s="28" t="n">
        <v>7</v>
      </c>
      <c r="M13" s="28" t="n">
        <v>4</v>
      </c>
      <c r="N13" s="7" t="s">
        <v>223</v>
      </c>
      <c r="O13" s="7" t="s">
        <v>470</v>
      </c>
    </row>
    <row r="14" customFormat="false" ht="15" hidden="false" customHeight="true" outlineLevel="0" collapsed="false">
      <c r="A14" s="28" t="n">
        <v>10</v>
      </c>
      <c r="B14" s="7" t="s">
        <v>471</v>
      </c>
      <c r="C14" s="7" t="s">
        <v>472</v>
      </c>
      <c r="D14" s="7" t="s">
        <v>466</v>
      </c>
      <c r="E14" s="28" t="s">
        <v>261</v>
      </c>
      <c r="F14" s="29" t="n">
        <v>115</v>
      </c>
      <c r="G14" s="29" t="n">
        <v>220</v>
      </c>
      <c r="H14" s="30" t="n">
        <f aca="false">IFERROR((G14-F14)/F14,0)</f>
        <v>0.91304347826087</v>
      </c>
      <c r="I14" s="28" t="s">
        <v>20</v>
      </c>
      <c r="J14" s="28" t="s">
        <v>209</v>
      </c>
      <c r="K14" s="28" t="n">
        <v>7</v>
      </c>
      <c r="L14" s="28" t="n">
        <v>7</v>
      </c>
      <c r="M14" s="28" t="n">
        <v>4</v>
      </c>
      <c r="N14" s="7" t="s">
        <v>441</v>
      </c>
      <c r="O14" s="7" t="s">
        <v>473</v>
      </c>
    </row>
    <row r="16" customFormat="false" ht="15" hidden="false" customHeight="true" outlineLevel="0" collapsed="false">
      <c r="B16" s="31" t="s">
        <v>269</v>
      </c>
      <c r="F16" s="32" t="n">
        <f aca="false">AVERAGE(F5:F14)</f>
        <v>134.5</v>
      </c>
      <c r="G16" s="32" t="n">
        <f aca="false">AVERAGE(G5:G14)</f>
        <v>285</v>
      </c>
      <c r="H16" s="33" t="n">
        <f aca="false">AVERAGE(H5:H14)</f>
        <v>1.1038672240674</v>
      </c>
      <c r="K16" s="34" t="n">
        <f aca="false">AVERAGE(K5:K14)</f>
        <v>7.4</v>
      </c>
      <c r="L16" s="34" t="n">
        <f aca="false">AVERAGE(L5:L14)</f>
        <v>7.9</v>
      </c>
    </row>
  </sheetData>
  <mergeCells count="2">
    <mergeCell ref="A1:O1"/>
    <mergeCell ref="A2:O2"/>
  </mergeCells>
  <conditionalFormatting sqref="L5:L14">
    <cfRule type="colorScale" priority="2">
      <colorScale>
        <cfvo type="num" val="1"/>
        <cfvo type="num" val="5"/>
        <cfvo type="num" val="10"/>
        <color rgb="FFF8696B"/>
        <color rgb="FFFFEB84"/>
        <color rgb="FF63BE7B"/>
      </colorScale>
    </cfRule>
  </conditionalFormatting>
  <conditionalFormatting sqref="H5:H14">
    <cfRule type="colorScale" priority="3">
      <colorScale>
        <cfvo type="num" val="-0.2"/>
        <cfvo type="num" val="0.5"/>
        <cfvo type="num" val="2"/>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4" min="3" style="1" width="22"/>
    <col collapsed="false" customWidth="true" hidden="false" outlineLevel="0" max="5" min="5" style="1" width="11"/>
    <col collapsed="false" customWidth="true" hidden="false" outlineLevel="0" max="7" min="6" style="1" width="12"/>
    <col collapsed="false" customWidth="true" hidden="false" outlineLevel="0" max="8" min="8" style="1" width="9"/>
    <col collapsed="false" customWidth="true" hidden="false" outlineLevel="0" max="9" min="9" style="1" width="12"/>
    <col collapsed="false" customWidth="true" hidden="false" outlineLevel="0" max="11" min="10" style="1" width="10"/>
    <col collapsed="false" customWidth="true" hidden="false" outlineLevel="0" max="12" min="12" style="1" width="11"/>
    <col collapsed="false" customWidth="true" hidden="false" outlineLevel="0" max="13" min="13" style="1" width="8"/>
    <col collapsed="false" customWidth="true" hidden="false" outlineLevel="0" max="14" min="14" style="1" width="22"/>
    <col collapsed="false" customWidth="true" hidden="false" outlineLevel="0" max="15" min="15" style="1" width="45"/>
  </cols>
  <sheetData>
    <row r="1" customFormat="false" ht="19.5" hidden="false" customHeight="true" outlineLevel="0" collapsed="false">
      <c r="A1" s="2" t="s">
        <v>474</v>
      </c>
      <c r="B1" s="2"/>
      <c r="C1" s="2"/>
      <c r="D1" s="2"/>
      <c r="E1" s="2"/>
      <c r="F1" s="2"/>
      <c r="G1" s="2"/>
      <c r="H1" s="2"/>
      <c r="I1" s="2"/>
      <c r="J1" s="2"/>
      <c r="K1" s="2"/>
      <c r="L1" s="2"/>
      <c r="M1" s="2"/>
      <c r="N1" s="2"/>
      <c r="O1" s="2"/>
    </row>
    <row r="2" customFormat="false" ht="15" hidden="false" customHeight="true" outlineLevel="0" collapsed="false">
      <c r="A2" s="3" t="s">
        <v>475</v>
      </c>
      <c r="B2" s="3"/>
      <c r="C2" s="3"/>
      <c r="D2" s="3"/>
      <c r="E2" s="3"/>
      <c r="F2" s="3"/>
      <c r="G2" s="3"/>
      <c r="H2" s="3"/>
      <c r="I2" s="3"/>
      <c r="J2" s="3"/>
      <c r="K2" s="3"/>
      <c r="L2" s="3"/>
      <c r="M2" s="3"/>
      <c r="N2" s="3"/>
      <c r="O2" s="3"/>
    </row>
    <row r="4" customFormat="false" ht="26.25" hidden="false" customHeight="true" outlineLevel="0" collapsed="false">
      <c r="A4" s="5" t="s">
        <v>92</v>
      </c>
      <c r="B4" s="5" t="s">
        <v>195</v>
      </c>
      <c r="C4" s="5" t="s">
        <v>139</v>
      </c>
      <c r="D4" s="5" t="s">
        <v>196</v>
      </c>
      <c r="E4" s="5" t="s">
        <v>197</v>
      </c>
      <c r="F4" s="5" t="s">
        <v>198</v>
      </c>
      <c r="G4" s="5" t="s">
        <v>199</v>
      </c>
      <c r="H4" s="5" t="s">
        <v>142</v>
      </c>
      <c r="I4" s="5" t="s">
        <v>200</v>
      </c>
      <c r="J4" s="5" t="s">
        <v>201</v>
      </c>
      <c r="K4" s="5" t="s">
        <v>202</v>
      </c>
      <c r="L4" s="5" t="s">
        <v>203</v>
      </c>
      <c r="M4" s="5" t="s">
        <v>144</v>
      </c>
      <c r="N4" s="5" t="s">
        <v>204</v>
      </c>
      <c r="O4" s="5" t="s">
        <v>205</v>
      </c>
    </row>
    <row r="5" customFormat="false" ht="15" hidden="false" customHeight="true" outlineLevel="0" collapsed="false">
      <c r="A5" s="28" t="n">
        <v>1</v>
      </c>
      <c r="B5" s="7" t="s">
        <v>476</v>
      </c>
      <c r="C5" s="7" t="s">
        <v>477</v>
      </c>
      <c r="D5" s="7" t="s">
        <v>478</v>
      </c>
      <c r="E5" s="28" t="s">
        <v>440</v>
      </c>
      <c r="F5" s="29" t="n">
        <v>195</v>
      </c>
      <c r="G5" s="29" t="n">
        <v>450</v>
      </c>
      <c r="H5" s="30" t="n">
        <f aca="false">IFERROR((G5-F5)/F5,0)</f>
        <v>1.30769230769231</v>
      </c>
      <c r="I5" s="28" t="s">
        <v>336</v>
      </c>
      <c r="J5" s="28" t="s">
        <v>219</v>
      </c>
      <c r="K5" s="28" t="n">
        <v>9</v>
      </c>
      <c r="L5" s="28" t="n">
        <v>9</v>
      </c>
      <c r="M5" s="28" t="n">
        <v>5</v>
      </c>
      <c r="N5" s="7" t="s">
        <v>441</v>
      </c>
      <c r="O5" s="7" t="s">
        <v>479</v>
      </c>
    </row>
    <row r="6" customFormat="false" ht="15" hidden="false" customHeight="true" outlineLevel="0" collapsed="false">
      <c r="A6" s="28" t="n">
        <v>2</v>
      </c>
      <c r="B6" s="7" t="s">
        <v>480</v>
      </c>
      <c r="C6" s="7" t="s">
        <v>481</v>
      </c>
      <c r="D6" s="7" t="s">
        <v>478</v>
      </c>
      <c r="E6" s="28" t="s">
        <v>440</v>
      </c>
      <c r="F6" s="29" t="n">
        <v>90</v>
      </c>
      <c r="G6" s="29" t="n">
        <v>190</v>
      </c>
      <c r="H6" s="30" t="n">
        <f aca="false">IFERROR((G6-F6)/F6,0)</f>
        <v>1.11111111111111</v>
      </c>
      <c r="I6" s="28" t="s">
        <v>20</v>
      </c>
      <c r="J6" s="28" t="s">
        <v>219</v>
      </c>
      <c r="K6" s="28" t="n">
        <v>8</v>
      </c>
      <c r="L6" s="28" t="n">
        <v>8</v>
      </c>
      <c r="M6" s="28" t="n">
        <v>4</v>
      </c>
      <c r="N6" s="7" t="s">
        <v>223</v>
      </c>
      <c r="O6" s="7" t="s">
        <v>482</v>
      </c>
    </row>
    <row r="7" customFormat="false" ht="15" hidden="false" customHeight="true" outlineLevel="0" collapsed="false">
      <c r="A7" s="28" t="n">
        <v>3</v>
      </c>
      <c r="B7" s="7" t="s">
        <v>483</v>
      </c>
      <c r="C7" s="7" t="s">
        <v>484</v>
      </c>
      <c r="D7" s="7" t="s">
        <v>478</v>
      </c>
      <c r="E7" s="28" t="s">
        <v>440</v>
      </c>
      <c r="F7" s="29" t="n">
        <v>175</v>
      </c>
      <c r="G7" s="29" t="n">
        <v>320</v>
      </c>
      <c r="H7" s="30" t="n">
        <f aca="false">IFERROR((G7-F7)/F7,0)</f>
        <v>0.828571428571429</v>
      </c>
      <c r="I7" s="28" t="s">
        <v>336</v>
      </c>
      <c r="J7" s="28" t="s">
        <v>209</v>
      </c>
      <c r="K7" s="28" t="n">
        <v>9</v>
      </c>
      <c r="L7" s="28" t="n">
        <v>8</v>
      </c>
      <c r="M7" s="28" t="n">
        <v>7</v>
      </c>
      <c r="N7" s="7" t="s">
        <v>441</v>
      </c>
      <c r="O7" s="7" t="s">
        <v>485</v>
      </c>
    </row>
    <row r="8" customFormat="false" ht="15" hidden="false" customHeight="true" outlineLevel="0" collapsed="false">
      <c r="A8" s="28" t="n">
        <v>4</v>
      </c>
      <c r="B8" s="7" t="s">
        <v>486</v>
      </c>
      <c r="C8" s="7" t="s">
        <v>487</v>
      </c>
      <c r="D8" s="7" t="s">
        <v>478</v>
      </c>
      <c r="E8" s="28" t="s">
        <v>440</v>
      </c>
      <c r="F8" s="29" t="n">
        <v>110</v>
      </c>
      <c r="G8" s="29" t="n">
        <v>220</v>
      </c>
      <c r="H8" s="30" t="n">
        <f aca="false">IFERROR((G8-F8)/F8,0)</f>
        <v>1</v>
      </c>
      <c r="I8" s="28" t="s">
        <v>20</v>
      </c>
      <c r="J8" s="28" t="s">
        <v>209</v>
      </c>
      <c r="K8" s="28" t="n">
        <v>7</v>
      </c>
      <c r="L8" s="28" t="n">
        <v>7</v>
      </c>
      <c r="M8" s="28" t="n">
        <v>4</v>
      </c>
      <c r="N8" s="7" t="s">
        <v>282</v>
      </c>
      <c r="O8" s="7" t="s">
        <v>488</v>
      </c>
    </row>
    <row r="9" customFormat="false" ht="15" hidden="false" customHeight="true" outlineLevel="0" collapsed="false">
      <c r="A9" s="28" t="n">
        <v>5</v>
      </c>
      <c r="B9" s="7" t="s">
        <v>489</v>
      </c>
      <c r="C9" s="7" t="s">
        <v>487</v>
      </c>
      <c r="D9" s="7" t="s">
        <v>478</v>
      </c>
      <c r="E9" s="28" t="s">
        <v>440</v>
      </c>
      <c r="F9" s="29" t="n">
        <v>125</v>
      </c>
      <c r="G9" s="29" t="n">
        <v>240</v>
      </c>
      <c r="H9" s="30" t="n">
        <f aca="false">IFERROR((G9-F9)/F9,0)</f>
        <v>0.92</v>
      </c>
      <c r="I9" s="28" t="s">
        <v>20</v>
      </c>
      <c r="J9" s="28" t="s">
        <v>209</v>
      </c>
      <c r="K9" s="28" t="n">
        <v>7</v>
      </c>
      <c r="L9" s="28" t="n">
        <v>7</v>
      </c>
      <c r="M9" s="28" t="n">
        <v>4</v>
      </c>
      <c r="N9" s="7" t="s">
        <v>223</v>
      </c>
      <c r="O9" s="7" t="s">
        <v>490</v>
      </c>
    </row>
    <row r="10" customFormat="false" ht="15" hidden="false" customHeight="true" outlineLevel="0" collapsed="false">
      <c r="A10" s="28" t="n">
        <v>6</v>
      </c>
      <c r="B10" s="7" t="s">
        <v>491</v>
      </c>
      <c r="C10" s="7" t="s">
        <v>492</v>
      </c>
      <c r="D10" s="7" t="s">
        <v>493</v>
      </c>
      <c r="E10" s="28" t="s">
        <v>440</v>
      </c>
      <c r="F10" s="29" t="n">
        <v>150</v>
      </c>
      <c r="G10" s="29" t="n">
        <v>280</v>
      </c>
      <c r="H10" s="30" t="n">
        <f aca="false">IFERROR((G10-F10)/F10,0)</f>
        <v>0.866666666666667</v>
      </c>
      <c r="I10" s="28" t="s">
        <v>336</v>
      </c>
      <c r="J10" s="28" t="s">
        <v>214</v>
      </c>
      <c r="K10" s="28" t="n">
        <v>7</v>
      </c>
      <c r="L10" s="28" t="n">
        <v>7</v>
      </c>
      <c r="M10" s="28" t="n">
        <v>5</v>
      </c>
      <c r="N10" s="7" t="s">
        <v>441</v>
      </c>
      <c r="O10" s="7" t="s">
        <v>494</v>
      </c>
    </row>
    <row r="11" customFormat="false" ht="15" hidden="false" customHeight="true" outlineLevel="0" collapsed="false">
      <c r="A11" s="28" t="n">
        <v>7</v>
      </c>
      <c r="B11" s="7" t="s">
        <v>495</v>
      </c>
      <c r="C11" s="7" t="s">
        <v>496</v>
      </c>
      <c r="D11" s="7" t="s">
        <v>478</v>
      </c>
      <c r="E11" s="28" t="s">
        <v>440</v>
      </c>
      <c r="F11" s="29" t="n">
        <v>130</v>
      </c>
      <c r="G11" s="29" t="n">
        <v>240</v>
      </c>
      <c r="H11" s="30" t="n">
        <f aca="false">IFERROR((G11-F11)/F11,0)</f>
        <v>0.846153846153846</v>
      </c>
      <c r="I11" s="28" t="s">
        <v>336</v>
      </c>
      <c r="J11" s="28" t="s">
        <v>219</v>
      </c>
      <c r="K11" s="28" t="n">
        <v>7</v>
      </c>
      <c r="L11" s="28" t="n">
        <v>7</v>
      </c>
      <c r="M11" s="28" t="n">
        <v>5</v>
      </c>
      <c r="N11" s="7" t="s">
        <v>223</v>
      </c>
      <c r="O11" s="7" t="s">
        <v>497</v>
      </c>
    </row>
    <row r="12" customFormat="false" ht="15" hidden="false" customHeight="true" outlineLevel="0" collapsed="false">
      <c r="A12" s="28" t="n">
        <v>8</v>
      </c>
      <c r="B12" s="7" t="s">
        <v>498</v>
      </c>
      <c r="C12" s="7" t="s">
        <v>499</v>
      </c>
      <c r="D12" s="7" t="s">
        <v>500</v>
      </c>
      <c r="E12" s="28" t="s">
        <v>440</v>
      </c>
      <c r="F12" s="29" t="n">
        <v>170</v>
      </c>
      <c r="G12" s="29" t="n">
        <v>300</v>
      </c>
      <c r="H12" s="30" t="n">
        <f aca="false">IFERROR((G12-F12)/F12,0)</f>
        <v>0.764705882352941</v>
      </c>
      <c r="I12" s="28" t="s">
        <v>336</v>
      </c>
      <c r="J12" s="28" t="s">
        <v>214</v>
      </c>
      <c r="K12" s="28" t="n">
        <v>7</v>
      </c>
      <c r="L12" s="28" t="n">
        <v>7</v>
      </c>
      <c r="M12" s="28" t="n">
        <v>5</v>
      </c>
      <c r="N12" s="7" t="s">
        <v>223</v>
      </c>
      <c r="O12" s="7" t="s">
        <v>501</v>
      </c>
    </row>
    <row r="14" customFormat="false" ht="15" hidden="false" customHeight="true" outlineLevel="0" collapsed="false">
      <c r="B14" s="31" t="s">
        <v>269</v>
      </c>
      <c r="F14" s="32" t="n">
        <f aca="false">AVERAGE(F5:F12)</f>
        <v>143.125</v>
      </c>
      <c r="G14" s="32" t="n">
        <f aca="false">AVERAGE(G5:G12)</f>
        <v>280</v>
      </c>
      <c r="H14" s="33" t="n">
        <f aca="false">AVERAGE(H5:H12)</f>
        <v>0.955612655318538</v>
      </c>
      <c r="K14" s="34" t="n">
        <f aca="false">AVERAGE(K5:K12)</f>
        <v>7.625</v>
      </c>
      <c r="L14" s="34" t="n">
        <f aca="false">AVERAGE(L5:L12)</f>
        <v>7.5</v>
      </c>
    </row>
  </sheetData>
  <mergeCells count="2">
    <mergeCell ref="A1:O1"/>
    <mergeCell ref="A2:O2"/>
  </mergeCells>
  <conditionalFormatting sqref="L5:L12">
    <cfRule type="colorScale" priority="2">
      <colorScale>
        <cfvo type="num" val="1"/>
        <cfvo type="num" val="5"/>
        <cfvo type="num" val="10"/>
        <color rgb="FFF8696B"/>
        <color rgb="FFFFEB84"/>
        <color rgb="FF63BE7B"/>
      </colorScale>
    </cfRule>
  </conditionalFormatting>
  <conditionalFormatting sqref="H5:H12">
    <cfRule type="colorScale" priority="3">
      <colorScale>
        <cfvo type="num" val="-0.2"/>
        <cfvo type="num" val="0.5"/>
        <cfvo type="num" val="2"/>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4" min="3" style="1" width="22"/>
    <col collapsed="false" customWidth="true" hidden="false" outlineLevel="0" max="5" min="5" style="1" width="11"/>
    <col collapsed="false" customWidth="true" hidden="false" outlineLevel="0" max="7" min="6" style="1" width="12"/>
    <col collapsed="false" customWidth="true" hidden="false" outlineLevel="0" max="8" min="8" style="1" width="9"/>
    <col collapsed="false" customWidth="true" hidden="false" outlineLevel="0" max="9" min="9" style="1" width="12"/>
    <col collapsed="false" customWidth="true" hidden="false" outlineLevel="0" max="11" min="10" style="1" width="10"/>
    <col collapsed="false" customWidth="true" hidden="false" outlineLevel="0" max="12" min="12" style="1" width="11"/>
    <col collapsed="false" customWidth="true" hidden="false" outlineLevel="0" max="13" min="13" style="1" width="8"/>
    <col collapsed="false" customWidth="true" hidden="false" outlineLevel="0" max="14" min="14" style="1" width="22"/>
    <col collapsed="false" customWidth="true" hidden="false" outlineLevel="0" max="15" min="15" style="1" width="45"/>
  </cols>
  <sheetData>
    <row r="1" customFormat="false" ht="19.5" hidden="false" customHeight="true" outlineLevel="0" collapsed="false">
      <c r="A1" s="2" t="s">
        <v>502</v>
      </c>
      <c r="B1" s="2"/>
      <c r="C1" s="2"/>
      <c r="D1" s="2"/>
      <c r="E1" s="2"/>
      <c r="F1" s="2"/>
      <c r="G1" s="2"/>
      <c r="H1" s="2"/>
      <c r="I1" s="2"/>
      <c r="J1" s="2"/>
      <c r="K1" s="2"/>
      <c r="L1" s="2"/>
      <c r="M1" s="2"/>
      <c r="N1" s="2"/>
      <c r="O1" s="2"/>
    </row>
    <row r="2" customFormat="false" ht="15" hidden="false" customHeight="true" outlineLevel="0" collapsed="false">
      <c r="A2" s="3" t="s">
        <v>503</v>
      </c>
      <c r="B2" s="3"/>
      <c r="C2" s="3"/>
      <c r="D2" s="3"/>
      <c r="E2" s="3"/>
      <c r="F2" s="3"/>
      <c r="G2" s="3"/>
      <c r="H2" s="3"/>
      <c r="I2" s="3"/>
      <c r="J2" s="3"/>
      <c r="K2" s="3"/>
      <c r="L2" s="3"/>
      <c r="M2" s="3"/>
      <c r="N2" s="3"/>
      <c r="O2" s="3"/>
    </row>
    <row r="4" customFormat="false" ht="26.25" hidden="false" customHeight="true" outlineLevel="0" collapsed="false">
      <c r="A4" s="5" t="s">
        <v>92</v>
      </c>
      <c r="B4" s="5" t="s">
        <v>195</v>
      </c>
      <c r="C4" s="5" t="s">
        <v>139</v>
      </c>
      <c r="D4" s="5" t="s">
        <v>196</v>
      </c>
      <c r="E4" s="5" t="s">
        <v>197</v>
      </c>
      <c r="F4" s="5" t="s">
        <v>198</v>
      </c>
      <c r="G4" s="5" t="s">
        <v>199</v>
      </c>
      <c r="H4" s="5" t="s">
        <v>142</v>
      </c>
      <c r="I4" s="5" t="s">
        <v>200</v>
      </c>
      <c r="J4" s="5" t="s">
        <v>201</v>
      </c>
      <c r="K4" s="5" t="s">
        <v>202</v>
      </c>
      <c r="L4" s="5" t="s">
        <v>203</v>
      </c>
      <c r="M4" s="5" t="s">
        <v>144</v>
      </c>
      <c r="N4" s="5" t="s">
        <v>204</v>
      </c>
      <c r="O4" s="5" t="s">
        <v>205</v>
      </c>
    </row>
    <row r="5" customFormat="false" ht="15" hidden="false" customHeight="true" outlineLevel="0" collapsed="false">
      <c r="A5" s="28" t="n">
        <v>1</v>
      </c>
      <c r="B5" s="7" t="s">
        <v>188</v>
      </c>
      <c r="C5" s="7" t="s">
        <v>189</v>
      </c>
      <c r="D5" s="7" t="s">
        <v>478</v>
      </c>
      <c r="E5" s="28" t="s">
        <v>440</v>
      </c>
      <c r="F5" s="29" t="n">
        <v>135</v>
      </c>
      <c r="G5" s="29" t="n">
        <v>280</v>
      </c>
      <c r="H5" s="30" t="n">
        <f aca="false">IFERROR((G5-F5)/F5,0)</f>
        <v>1.07407407407407</v>
      </c>
      <c r="I5" s="28" t="s">
        <v>20</v>
      </c>
      <c r="J5" s="28" t="s">
        <v>219</v>
      </c>
      <c r="K5" s="28" t="n">
        <v>8</v>
      </c>
      <c r="L5" s="28" t="n">
        <v>8</v>
      </c>
      <c r="M5" s="28" t="n">
        <v>5</v>
      </c>
      <c r="N5" s="7" t="s">
        <v>441</v>
      </c>
      <c r="O5" s="7" t="s">
        <v>504</v>
      </c>
    </row>
    <row r="6" customFormat="false" ht="15" hidden="false" customHeight="true" outlineLevel="0" collapsed="false">
      <c r="A6" s="28" t="n">
        <v>2</v>
      </c>
      <c r="B6" s="7" t="s">
        <v>505</v>
      </c>
      <c r="C6" s="7" t="s">
        <v>189</v>
      </c>
      <c r="D6" s="7" t="s">
        <v>478</v>
      </c>
      <c r="E6" s="28" t="s">
        <v>440</v>
      </c>
      <c r="F6" s="29" t="n">
        <v>115</v>
      </c>
      <c r="G6" s="29" t="n">
        <v>240</v>
      </c>
      <c r="H6" s="30" t="n">
        <f aca="false">IFERROR((G6-F6)/F6,0)</f>
        <v>1.08695652173913</v>
      </c>
      <c r="I6" s="28" t="s">
        <v>20</v>
      </c>
      <c r="J6" s="28" t="s">
        <v>219</v>
      </c>
      <c r="K6" s="28" t="n">
        <v>8</v>
      </c>
      <c r="L6" s="28" t="n">
        <v>8</v>
      </c>
      <c r="M6" s="28" t="n">
        <v>5</v>
      </c>
      <c r="N6" s="7" t="s">
        <v>223</v>
      </c>
      <c r="O6" s="7" t="s">
        <v>506</v>
      </c>
    </row>
    <row r="7" customFormat="false" ht="15" hidden="false" customHeight="true" outlineLevel="0" collapsed="false">
      <c r="A7" s="28" t="n">
        <v>3</v>
      </c>
      <c r="B7" s="7" t="s">
        <v>507</v>
      </c>
      <c r="C7" s="7" t="s">
        <v>508</v>
      </c>
      <c r="D7" s="7" t="s">
        <v>478</v>
      </c>
      <c r="E7" s="28" t="s">
        <v>440</v>
      </c>
      <c r="F7" s="29" t="n">
        <v>120</v>
      </c>
      <c r="G7" s="29" t="n">
        <v>240</v>
      </c>
      <c r="H7" s="30" t="n">
        <f aca="false">IFERROR((G7-F7)/F7,0)</f>
        <v>1</v>
      </c>
      <c r="I7" s="28" t="s">
        <v>336</v>
      </c>
      <c r="J7" s="28" t="s">
        <v>209</v>
      </c>
      <c r="K7" s="28" t="n">
        <v>9</v>
      </c>
      <c r="L7" s="28" t="n">
        <v>8</v>
      </c>
      <c r="M7" s="28" t="n">
        <v>7</v>
      </c>
      <c r="N7" s="7" t="s">
        <v>441</v>
      </c>
      <c r="O7" s="7" t="s">
        <v>509</v>
      </c>
    </row>
    <row r="8" customFormat="false" ht="15" hidden="false" customHeight="true" outlineLevel="0" collapsed="false">
      <c r="A8" s="28" t="n">
        <v>4</v>
      </c>
      <c r="B8" s="7" t="s">
        <v>510</v>
      </c>
      <c r="C8" s="7" t="s">
        <v>511</v>
      </c>
      <c r="D8" s="7" t="s">
        <v>478</v>
      </c>
      <c r="E8" s="28" t="s">
        <v>440</v>
      </c>
      <c r="F8" s="29" t="n">
        <v>95</v>
      </c>
      <c r="G8" s="29" t="n">
        <v>200</v>
      </c>
      <c r="H8" s="30" t="n">
        <f aca="false">IFERROR((G8-F8)/F8,0)</f>
        <v>1.10526315789474</v>
      </c>
      <c r="I8" s="28" t="s">
        <v>20</v>
      </c>
      <c r="J8" s="28" t="s">
        <v>209</v>
      </c>
      <c r="K8" s="28" t="n">
        <v>7</v>
      </c>
      <c r="L8" s="28" t="n">
        <v>7</v>
      </c>
      <c r="M8" s="28" t="n">
        <v>4</v>
      </c>
      <c r="N8" s="7" t="s">
        <v>282</v>
      </c>
      <c r="O8" s="7" t="s">
        <v>512</v>
      </c>
    </row>
    <row r="9" customFormat="false" ht="15" hidden="false" customHeight="true" outlineLevel="0" collapsed="false">
      <c r="A9" s="28" t="n">
        <v>5</v>
      </c>
      <c r="B9" s="7" t="s">
        <v>513</v>
      </c>
      <c r="C9" s="7" t="s">
        <v>514</v>
      </c>
      <c r="D9" s="7" t="s">
        <v>493</v>
      </c>
      <c r="E9" s="28" t="s">
        <v>440</v>
      </c>
      <c r="F9" s="29" t="n">
        <v>155</v>
      </c>
      <c r="G9" s="29" t="n">
        <v>280</v>
      </c>
      <c r="H9" s="30" t="n">
        <f aca="false">IFERROR((G9-F9)/F9,0)</f>
        <v>0.806451612903226</v>
      </c>
      <c r="I9" s="28" t="s">
        <v>336</v>
      </c>
      <c r="J9" s="28" t="s">
        <v>209</v>
      </c>
      <c r="K9" s="28" t="n">
        <v>7</v>
      </c>
      <c r="L9" s="28" t="n">
        <v>7</v>
      </c>
      <c r="M9" s="28" t="n">
        <v>5</v>
      </c>
      <c r="N9" s="7" t="s">
        <v>223</v>
      </c>
      <c r="O9" s="7" t="s">
        <v>515</v>
      </c>
    </row>
    <row r="10" customFormat="false" ht="15" hidden="false" customHeight="true" outlineLevel="0" collapsed="false">
      <c r="A10" s="28" t="n">
        <v>6</v>
      </c>
      <c r="B10" s="7" t="s">
        <v>516</v>
      </c>
      <c r="C10" s="7" t="s">
        <v>511</v>
      </c>
      <c r="D10" s="7" t="s">
        <v>478</v>
      </c>
      <c r="E10" s="28" t="s">
        <v>440</v>
      </c>
      <c r="F10" s="29" t="n">
        <v>75</v>
      </c>
      <c r="G10" s="29" t="n">
        <v>160</v>
      </c>
      <c r="H10" s="30" t="n">
        <f aca="false">IFERROR((G10-F10)/F10,0)</f>
        <v>1.13333333333333</v>
      </c>
      <c r="I10" s="28" t="s">
        <v>20</v>
      </c>
      <c r="J10" s="28" t="s">
        <v>219</v>
      </c>
      <c r="K10" s="28" t="n">
        <v>6</v>
      </c>
      <c r="L10" s="28" t="n">
        <v>7</v>
      </c>
      <c r="M10" s="28" t="n">
        <v>4</v>
      </c>
      <c r="N10" s="7" t="s">
        <v>282</v>
      </c>
      <c r="O10" s="7" t="s">
        <v>517</v>
      </c>
    </row>
    <row r="11" customFormat="false" ht="15" hidden="false" customHeight="true" outlineLevel="0" collapsed="false">
      <c r="A11" s="28" t="n">
        <v>7</v>
      </c>
      <c r="B11" s="7" t="s">
        <v>518</v>
      </c>
      <c r="C11" s="7" t="s">
        <v>511</v>
      </c>
      <c r="D11" s="7" t="s">
        <v>478</v>
      </c>
      <c r="E11" s="28" t="s">
        <v>440</v>
      </c>
      <c r="F11" s="29" t="n">
        <v>85</v>
      </c>
      <c r="G11" s="29" t="n">
        <v>170</v>
      </c>
      <c r="H11" s="30" t="n">
        <f aca="false">IFERROR((G11-F11)/F11,0)</f>
        <v>1</v>
      </c>
      <c r="I11" s="28" t="s">
        <v>20</v>
      </c>
      <c r="J11" s="28" t="s">
        <v>209</v>
      </c>
      <c r="K11" s="28" t="n">
        <v>6</v>
      </c>
      <c r="L11" s="28" t="n">
        <v>6</v>
      </c>
      <c r="M11" s="28" t="n">
        <v>4</v>
      </c>
      <c r="N11" s="7" t="s">
        <v>441</v>
      </c>
      <c r="O11" s="7" t="s">
        <v>519</v>
      </c>
    </row>
    <row r="13" customFormat="false" ht="15" hidden="false" customHeight="true" outlineLevel="0" collapsed="false">
      <c r="B13" s="31" t="s">
        <v>269</v>
      </c>
      <c r="F13" s="32" t="n">
        <f aca="false">AVERAGE(F5:F11)</f>
        <v>111.428571428571</v>
      </c>
      <c r="G13" s="32" t="n">
        <f aca="false">AVERAGE(G5:G11)</f>
        <v>224.285714285714</v>
      </c>
      <c r="H13" s="33" t="n">
        <f aca="false">AVERAGE(H5:H11)</f>
        <v>1.02943981427779</v>
      </c>
      <c r="K13" s="34" t="n">
        <f aca="false">AVERAGE(K5:K11)</f>
        <v>7.28571428571429</v>
      </c>
      <c r="L13" s="34" t="n">
        <f aca="false">AVERAGE(L5:L11)</f>
        <v>7.28571428571429</v>
      </c>
    </row>
  </sheetData>
  <mergeCells count="2">
    <mergeCell ref="A1:O1"/>
    <mergeCell ref="A2:O2"/>
  </mergeCells>
  <conditionalFormatting sqref="L5:L11">
    <cfRule type="colorScale" priority="2">
      <colorScale>
        <cfvo type="num" val="1"/>
        <cfvo type="num" val="5"/>
        <cfvo type="num" val="10"/>
        <color rgb="FFF8696B"/>
        <color rgb="FFFFEB84"/>
        <color rgb="FF63BE7B"/>
      </colorScale>
    </cfRule>
  </conditionalFormatting>
  <conditionalFormatting sqref="H5:H11">
    <cfRule type="colorScale" priority="3">
      <colorScale>
        <cfvo type="num" val="-0.2"/>
        <cfvo type="num" val="0.5"/>
        <cfvo type="num" val="2"/>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4" min="3" style="1" width="22"/>
    <col collapsed="false" customWidth="true" hidden="false" outlineLevel="0" max="5" min="5" style="1" width="11"/>
    <col collapsed="false" customWidth="true" hidden="false" outlineLevel="0" max="7" min="6" style="1" width="12"/>
    <col collapsed="false" customWidth="true" hidden="false" outlineLevel="0" max="8" min="8" style="1" width="9"/>
    <col collapsed="false" customWidth="true" hidden="false" outlineLevel="0" max="9" min="9" style="1" width="12"/>
    <col collapsed="false" customWidth="true" hidden="false" outlineLevel="0" max="11" min="10" style="1" width="10"/>
    <col collapsed="false" customWidth="true" hidden="false" outlineLevel="0" max="12" min="12" style="1" width="11"/>
    <col collapsed="false" customWidth="true" hidden="false" outlineLevel="0" max="13" min="13" style="1" width="8"/>
    <col collapsed="false" customWidth="true" hidden="false" outlineLevel="0" max="14" min="14" style="1" width="22"/>
    <col collapsed="false" customWidth="true" hidden="false" outlineLevel="0" max="15" min="15" style="1" width="45"/>
  </cols>
  <sheetData>
    <row r="1" customFormat="false" ht="19.5" hidden="false" customHeight="true" outlineLevel="0" collapsed="false">
      <c r="A1" s="2" t="s">
        <v>520</v>
      </c>
      <c r="B1" s="2"/>
      <c r="C1" s="2"/>
      <c r="D1" s="2"/>
      <c r="E1" s="2"/>
      <c r="F1" s="2"/>
      <c r="G1" s="2"/>
      <c r="H1" s="2"/>
      <c r="I1" s="2"/>
      <c r="J1" s="2"/>
      <c r="K1" s="2"/>
      <c r="L1" s="2"/>
      <c r="M1" s="2"/>
      <c r="N1" s="2"/>
      <c r="O1" s="2"/>
    </row>
    <row r="2" customFormat="false" ht="15" hidden="false" customHeight="true" outlineLevel="0" collapsed="false">
      <c r="A2" s="3" t="s">
        <v>521</v>
      </c>
      <c r="B2" s="3"/>
      <c r="C2" s="3"/>
      <c r="D2" s="3"/>
      <c r="E2" s="3"/>
      <c r="F2" s="3"/>
      <c r="G2" s="3"/>
      <c r="H2" s="3"/>
      <c r="I2" s="3"/>
      <c r="J2" s="3"/>
      <c r="K2" s="3"/>
      <c r="L2" s="3"/>
      <c r="M2" s="3"/>
      <c r="N2" s="3"/>
      <c r="O2" s="3"/>
    </row>
    <row r="4" customFormat="false" ht="26.25" hidden="false" customHeight="true" outlineLevel="0" collapsed="false">
      <c r="A4" s="5" t="s">
        <v>92</v>
      </c>
      <c r="B4" s="5" t="s">
        <v>195</v>
      </c>
      <c r="C4" s="5" t="s">
        <v>139</v>
      </c>
      <c r="D4" s="5" t="s">
        <v>196</v>
      </c>
      <c r="E4" s="5" t="s">
        <v>197</v>
      </c>
      <c r="F4" s="5" t="s">
        <v>198</v>
      </c>
      <c r="G4" s="5" t="s">
        <v>199</v>
      </c>
      <c r="H4" s="5" t="s">
        <v>142</v>
      </c>
      <c r="I4" s="5" t="s">
        <v>200</v>
      </c>
      <c r="J4" s="5" t="s">
        <v>201</v>
      </c>
      <c r="K4" s="5" t="s">
        <v>202</v>
      </c>
      <c r="L4" s="5" t="s">
        <v>203</v>
      </c>
      <c r="M4" s="5" t="s">
        <v>144</v>
      </c>
      <c r="N4" s="5" t="s">
        <v>204</v>
      </c>
      <c r="O4" s="5" t="s">
        <v>205</v>
      </c>
    </row>
    <row r="5" customFormat="false" ht="23.25" hidden="false" customHeight="true" outlineLevel="0" collapsed="false">
      <c r="A5" s="28" t="n">
        <v>1</v>
      </c>
      <c r="B5" s="7" t="s">
        <v>183</v>
      </c>
      <c r="C5" s="7" t="s">
        <v>184</v>
      </c>
      <c r="D5" s="7" t="s">
        <v>478</v>
      </c>
      <c r="E5" s="28" t="s">
        <v>440</v>
      </c>
      <c r="F5" s="29" t="n">
        <v>165</v>
      </c>
      <c r="G5" s="29" t="n">
        <v>340</v>
      </c>
      <c r="H5" s="30" t="n">
        <f aca="false">IFERROR((G5-F5)/F5,0)</f>
        <v>1.06060606060606</v>
      </c>
      <c r="I5" s="28" t="s">
        <v>20</v>
      </c>
      <c r="J5" s="28" t="s">
        <v>219</v>
      </c>
      <c r="K5" s="28" t="n">
        <v>7</v>
      </c>
      <c r="L5" s="28" t="n">
        <v>9</v>
      </c>
      <c r="M5" s="28" t="n">
        <v>4</v>
      </c>
      <c r="N5" s="7" t="s">
        <v>441</v>
      </c>
      <c r="O5" s="7" t="s">
        <v>522</v>
      </c>
    </row>
    <row r="6" customFormat="false" ht="23.25" hidden="false" customHeight="true" outlineLevel="0" collapsed="false">
      <c r="A6" s="28" t="n">
        <v>2</v>
      </c>
      <c r="B6" s="7" t="s">
        <v>523</v>
      </c>
      <c r="C6" s="7" t="s">
        <v>524</v>
      </c>
      <c r="D6" s="7" t="s">
        <v>525</v>
      </c>
      <c r="E6" s="28" t="s">
        <v>440</v>
      </c>
      <c r="F6" s="29" t="n">
        <v>130</v>
      </c>
      <c r="G6" s="29" t="n">
        <v>270</v>
      </c>
      <c r="H6" s="30" t="n">
        <f aca="false">IFERROR((G6-F6)/F6,0)</f>
        <v>1.07692307692308</v>
      </c>
      <c r="I6" s="28" t="s">
        <v>336</v>
      </c>
      <c r="J6" s="28" t="s">
        <v>209</v>
      </c>
      <c r="K6" s="28" t="n">
        <v>8</v>
      </c>
      <c r="L6" s="28" t="n">
        <v>8</v>
      </c>
      <c r="M6" s="28" t="n">
        <v>5</v>
      </c>
      <c r="N6" s="7" t="s">
        <v>223</v>
      </c>
      <c r="O6" s="7" t="s">
        <v>526</v>
      </c>
    </row>
    <row r="7" customFormat="false" ht="23.25" hidden="false" customHeight="true" outlineLevel="0" collapsed="false">
      <c r="A7" s="28" t="n">
        <v>3</v>
      </c>
      <c r="B7" s="7" t="s">
        <v>527</v>
      </c>
      <c r="C7" s="7" t="s">
        <v>528</v>
      </c>
      <c r="D7" s="7" t="s">
        <v>478</v>
      </c>
      <c r="E7" s="28" t="s">
        <v>440</v>
      </c>
      <c r="F7" s="29" t="n">
        <v>145</v>
      </c>
      <c r="G7" s="29" t="n">
        <v>280</v>
      </c>
      <c r="H7" s="30" t="n">
        <f aca="false">IFERROR((G7-F7)/F7,0)</f>
        <v>0.931034482758621</v>
      </c>
      <c r="I7" s="28" t="s">
        <v>336</v>
      </c>
      <c r="J7" s="28" t="s">
        <v>209</v>
      </c>
      <c r="K7" s="28" t="n">
        <v>7</v>
      </c>
      <c r="L7" s="28" t="n">
        <v>8</v>
      </c>
      <c r="M7" s="28" t="n">
        <v>4</v>
      </c>
      <c r="N7" s="7" t="s">
        <v>441</v>
      </c>
      <c r="O7" s="7" t="s">
        <v>529</v>
      </c>
    </row>
    <row r="8" customFormat="false" ht="23.25" hidden="false" customHeight="true" outlineLevel="0" collapsed="false">
      <c r="A8" s="28" t="n">
        <v>4</v>
      </c>
      <c r="B8" s="7" t="s">
        <v>530</v>
      </c>
      <c r="C8" s="7" t="s">
        <v>531</v>
      </c>
      <c r="D8" s="7" t="s">
        <v>478</v>
      </c>
      <c r="E8" s="28" t="s">
        <v>440</v>
      </c>
      <c r="F8" s="29" t="n">
        <v>120</v>
      </c>
      <c r="G8" s="29" t="n">
        <v>240</v>
      </c>
      <c r="H8" s="30" t="n">
        <f aca="false">IFERROR((G8-F8)/F8,0)</f>
        <v>1</v>
      </c>
      <c r="I8" s="28" t="s">
        <v>20</v>
      </c>
      <c r="J8" s="28" t="s">
        <v>219</v>
      </c>
      <c r="K8" s="28" t="n">
        <v>7</v>
      </c>
      <c r="L8" s="28" t="n">
        <v>7</v>
      </c>
      <c r="M8" s="28" t="n">
        <v>4</v>
      </c>
      <c r="N8" s="7" t="s">
        <v>223</v>
      </c>
      <c r="O8" s="7" t="s">
        <v>532</v>
      </c>
    </row>
    <row r="9" customFormat="false" ht="23.25" hidden="false" customHeight="true" outlineLevel="0" collapsed="false">
      <c r="A9" s="28" t="n">
        <v>5</v>
      </c>
      <c r="B9" s="7" t="s">
        <v>533</v>
      </c>
      <c r="C9" s="7" t="s">
        <v>534</v>
      </c>
      <c r="D9" s="7" t="s">
        <v>525</v>
      </c>
      <c r="E9" s="28" t="s">
        <v>440</v>
      </c>
      <c r="F9" s="29" t="n">
        <v>155</v>
      </c>
      <c r="G9" s="29" t="n">
        <v>290</v>
      </c>
      <c r="H9" s="30" t="n">
        <f aca="false">IFERROR((G9-F9)/F9,0)</f>
        <v>0.870967741935484</v>
      </c>
      <c r="I9" s="28" t="s">
        <v>336</v>
      </c>
      <c r="J9" s="28" t="s">
        <v>209</v>
      </c>
      <c r="K9" s="28" t="n">
        <v>8</v>
      </c>
      <c r="L9" s="28" t="n">
        <v>7</v>
      </c>
      <c r="M9" s="28" t="n">
        <v>6</v>
      </c>
      <c r="N9" s="7" t="s">
        <v>441</v>
      </c>
      <c r="O9" s="7" t="s">
        <v>535</v>
      </c>
    </row>
    <row r="10" customFormat="false" ht="15" hidden="false" customHeight="true" outlineLevel="0" collapsed="false">
      <c r="A10" s="28" t="n">
        <v>6</v>
      </c>
      <c r="B10" s="7" t="s">
        <v>536</v>
      </c>
      <c r="C10" s="7" t="s">
        <v>537</v>
      </c>
      <c r="D10" s="7" t="s">
        <v>525</v>
      </c>
      <c r="E10" s="28" t="s">
        <v>440</v>
      </c>
      <c r="F10" s="29" t="n">
        <v>95</v>
      </c>
      <c r="G10" s="29" t="n">
        <v>175</v>
      </c>
      <c r="H10" s="30" t="n">
        <f aca="false">IFERROR((G10-F10)/F10,0)</f>
        <v>0.842105263157895</v>
      </c>
      <c r="I10" s="28" t="s">
        <v>336</v>
      </c>
      <c r="J10" s="28" t="s">
        <v>209</v>
      </c>
      <c r="K10" s="28" t="n">
        <v>7</v>
      </c>
      <c r="L10" s="28" t="n">
        <v>6</v>
      </c>
      <c r="M10" s="28" t="n">
        <v>5</v>
      </c>
      <c r="N10" s="7" t="s">
        <v>223</v>
      </c>
      <c r="O10" s="7" t="s">
        <v>538</v>
      </c>
    </row>
    <row r="12" customFormat="false" ht="15" hidden="false" customHeight="true" outlineLevel="0" collapsed="false">
      <c r="B12" s="31" t="s">
        <v>269</v>
      </c>
      <c r="F12" s="32" t="n">
        <f aca="false">AVERAGE(F5:F10)</f>
        <v>135</v>
      </c>
      <c r="G12" s="32" t="n">
        <f aca="false">AVERAGE(G5:G10)</f>
        <v>265.833333333333</v>
      </c>
      <c r="H12" s="33" t="n">
        <f aca="false">AVERAGE(H5:H10)</f>
        <v>0.963606104230189</v>
      </c>
      <c r="K12" s="34" t="n">
        <f aca="false">AVERAGE(K5:K10)</f>
        <v>7.33333333333333</v>
      </c>
      <c r="L12" s="34" t="n">
        <f aca="false">AVERAGE(L5:L10)</f>
        <v>7.5</v>
      </c>
    </row>
  </sheetData>
  <mergeCells count="2">
    <mergeCell ref="A1:O1"/>
    <mergeCell ref="A2:O2"/>
  </mergeCells>
  <conditionalFormatting sqref="L5:L10">
    <cfRule type="colorScale" priority="2">
      <colorScale>
        <cfvo type="num" val="1"/>
        <cfvo type="num" val="5"/>
        <cfvo type="num" val="10"/>
        <color rgb="FFF8696B"/>
        <color rgb="FFFFEB84"/>
        <color rgb="FF63BE7B"/>
      </colorScale>
    </cfRule>
  </conditionalFormatting>
  <conditionalFormatting sqref="H5:H10">
    <cfRule type="colorScale" priority="3">
      <colorScale>
        <cfvo type="num" val="-0.2"/>
        <cfvo type="num" val="0.5"/>
        <cfvo type="num" val="2"/>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4" min="3" style="1" width="22"/>
    <col collapsed="false" customWidth="true" hidden="false" outlineLevel="0" max="5" min="5" style="1" width="11"/>
    <col collapsed="false" customWidth="true" hidden="false" outlineLevel="0" max="7" min="6" style="1" width="12"/>
    <col collapsed="false" customWidth="true" hidden="false" outlineLevel="0" max="8" min="8" style="1" width="9"/>
    <col collapsed="false" customWidth="true" hidden="false" outlineLevel="0" max="9" min="9" style="1" width="12"/>
    <col collapsed="false" customWidth="true" hidden="false" outlineLevel="0" max="11" min="10" style="1" width="10"/>
    <col collapsed="false" customWidth="true" hidden="false" outlineLevel="0" max="12" min="12" style="1" width="11"/>
    <col collapsed="false" customWidth="true" hidden="false" outlineLevel="0" max="13" min="13" style="1" width="8"/>
    <col collapsed="false" customWidth="true" hidden="false" outlineLevel="0" max="14" min="14" style="1" width="22"/>
    <col collapsed="false" customWidth="true" hidden="false" outlineLevel="0" max="15" min="15" style="1" width="45"/>
  </cols>
  <sheetData>
    <row r="1" customFormat="false" ht="19.5" hidden="false" customHeight="true" outlineLevel="0" collapsed="false">
      <c r="A1" s="2" t="s">
        <v>539</v>
      </c>
      <c r="B1" s="2"/>
      <c r="C1" s="2"/>
      <c r="D1" s="2"/>
      <c r="E1" s="2"/>
      <c r="F1" s="2"/>
      <c r="G1" s="2"/>
      <c r="H1" s="2"/>
      <c r="I1" s="2"/>
      <c r="J1" s="2"/>
      <c r="K1" s="2"/>
      <c r="L1" s="2"/>
      <c r="M1" s="2"/>
      <c r="N1" s="2"/>
      <c r="O1" s="2"/>
    </row>
    <row r="2" customFormat="false" ht="15" hidden="false" customHeight="true" outlineLevel="0" collapsed="false">
      <c r="A2" s="3" t="s">
        <v>540</v>
      </c>
      <c r="B2" s="3"/>
      <c r="C2" s="3"/>
      <c r="D2" s="3"/>
      <c r="E2" s="3"/>
      <c r="F2" s="3"/>
      <c r="G2" s="3"/>
      <c r="H2" s="3"/>
      <c r="I2" s="3"/>
      <c r="J2" s="3"/>
      <c r="K2" s="3"/>
      <c r="L2" s="3"/>
      <c r="M2" s="3"/>
      <c r="N2" s="3"/>
      <c r="O2" s="3"/>
    </row>
    <row r="4" customFormat="false" ht="26.25" hidden="false" customHeight="true" outlineLevel="0" collapsed="false">
      <c r="A4" s="5" t="s">
        <v>92</v>
      </c>
      <c r="B4" s="5" t="s">
        <v>195</v>
      </c>
      <c r="C4" s="5" t="s">
        <v>139</v>
      </c>
      <c r="D4" s="5" t="s">
        <v>196</v>
      </c>
      <c r="E4" s="5" t="s">
        <v>197</v>
      </c>
      <c r="F4" s="5" t="s">
        <v>198</v>
      </c>
      <c r="G4" s="5" t="s">
        <v>199</v>
      </c>
      <c r="H4" s="5" t="s">
        <v>142</v>
      </c>
      <c r="I4" s="5" t="s">
        <v>200</v>
      </c>
      <c r="J4" s="5" t="s">
        <v>201</v>
      </c>
      <c r="K4" s="5" t="s">
        <v>202</v>
      </c>
      <c r="L4" s="5" t="s">
        <v>203</v>
      </c>
      <c r="M4" s="5" t="s">
        <v>144</v>
      </c>
      <c r="N4" s="5" t="s">
        <v>204</v>
      </c>
      <c r="O4" s="5" t="s">
        <v>205</v>
      </c>
    </row>
    <row r="5" customFormat="false" ht="23.25" hidden="false" customHeight="true" outlineLevel="0" collapsed="false">
      <c r="A5" s="28" t="n">
        <v>1</v>
      </c>
      <c r="B5" s="7" t="s">
        <v>541</v>
      </c>
      <c r="C5" s="7" t="s">
        <v>542</v>
      </c>
      <c r="D5" s="7" t="s">
        <v>543</v>
      </c>
      <c r="E5" s="28" t="s">
        <v>322</v>
      </c>
      <c r="F5" s="29" t="n">
        <v>145</v>
      </c>
      <c r="G5" s="29" t="n">
        <v>300</v>
      </c>
      <c r="H5" s="30" t="n">
        <f aca="false">IFERROR((G5-F5)/F5,0)</f>
        <v>1.06896551724138</v>
      </c>
      <c r="I5" s="28" t="s">
        <v>20</v>
      </c>
      <c r="J5" s="28" t="s">
        <v>219</v>
      </c>
      <c r="K5" s="28" t="n">
        <v>7</v>
      </c>
      <c r="L5" s="28" t="n">
        <v>8</v>
      </c>
      <c r="M5" s="28" t="n">
        <v>3</v>
      </c>
      <c r="N5" s="7" t="s">
        <v>220</v>
      </c>
      <c r="O5" s="7" t="s">
        <v>544</v>
      </c>
    </row>
    <row r="6" customFormat="false" ht="23.25" hidden="false" customHeight="true" outlineLevel="0" collapsed="false">
      <c r="A6" s="28" t="n">
        <v>2</v>
      </c>
      <c r="B6" s="7" t="s">
        <v>545</v>
      </c>
      <c r="C6" s="7" t="s">
        <v>546</v>
      </c>
      <c r="D6" s="7" t="s">
        <v>547</v>
      </c>
      <c r="E6" s="28" t="s">
        <v>322</v>
      </c>
      <c r="F6" s="29" t="n">
        <v>155</v>
      </c>
      <c r="G6" s="29" t="n">
        <v>290</v>
      </c>
      <c r="H6" s="30" t="n">
        <f aca="false">IFERROR((G6-F6)/F6,0)</f>
        <v>0.870967741935484</v>
      </c>
      <c r="I6" s="28" t="s">
        <v>336</v>
      </c>
      <c r="J6" s="28" t="s">
        <v>219</v>
      </c>
      <c r="K6" s="28" t="n">
        <v>6</v>
      </c>
      <c r="L6" s="28" t="n">
        <v>8</v>
      </c>
      <c r="M6" s="28" t="n">
        <v>4</v>
      </c>
      <c r="N6" s="7" t="s">
        <v>220</v>
      </c>
      <c r="O6" s="7" t="s">
        <v>548</v>
      </c>
    </row>
    <row r="7" customFormat="false" ht="23.25" hidden="false" customHeight="true" outlineLevel="0" collapsed="false">
      <c r="A7" s="28" t="n">
        <v>3</v>
      </c>
      <c r="B7" s="7" t="s">
        <v>549</v>
      </c>
      <c r="C7" s="7" t="s">
        <v>550</v>
      </c>
      <c r="D7" s="7" t="s">
        <v>543</v>
      </c>
      <c r="E7" s="28" t="s">
        <v>322</v>
      </c>
      <c r="F7" s="29" t="n">
        <v>110</v>
      </c>
      <c r="G7" s="29" t="n">
        <v>220</v>
      </c>
      <c r="H7" s="30" t="n">
        <f aca="false">IFERROR((G7-F7)/F7,0)</f>
        <v>1</v>
      </c>
      <c r="I7" s="28" t="s">
        <v>20</v>
      </c>
      <c r="J7" s="28" t="s">
        <v>219</v>
      </c>
      <c r="K7" s="28" t="n">
        <v>6</v>
      </c>
      <c r="L7" s="28" t="n">
        <v>7</v>
      </c>
      <c r="M7" s="28" t="n">
        <v>3</v>
      </c>
      <c r="N7" s="7" t="s">
        <v>220</v>
      </c>
      <c r="O7" s="7" t="s">
        <v>551</v>
      </c>
    </row>
    <row r="8" customFormat="false" ht="23.25" hidden="false" customHeight="true" outlineLevel="0" collapsed="false">
      <c r="A8" s="28" t="n">
        <v>4</v>
      </c>
      <c r="B8" s="7" t="s">
        <v>552</v>
      </c>
      <c r="C8" s="7" t="s">
        <v>553</v>
      </c>
      <c r="D8" s="7" t="s">
        <v>547</v>
      </c>
      <c r="E8" s="28" t="s">
        <v>322</v>
      </c>
      <c r="F8" s="29" t="n">
        <v>95</v>
      </c>
      <c r="G8" s="29" t="n">
        <v>180</v>
      </c>
      <c r="H8" s="30" t="n">
        <f aca="false">IFERROR((G8-F8)/F8,0)</f>
        <v>0.894736842105263</v>
      </c>
      <c r="I8" s="28" t="s">
        <v>20</v>
      </c>
      <c r="J8" s="28" t="s">
        <v>209</v>
      </c>
      <c r="K8" s="28" t="n">
        <v>6</v>
      </c>
      <c r="L8" s="28" t="n">
        <v>7</v>
      </c>
      <c r="M8" s="28" t="n">
        <v>4</v>
      </c>
      <c r="N8" s="7" t="s">
        <v>220</v>
      </c>
      <c r="O8" s="7" t="s">
        <v>554</v>
      </c>
    </row>
    <row r="9" customFormat="false" ht="15" hidden="false" customHeight="true" outlineLevel="0" collapsed="false">
      <c r="A9" s="28" t="n">
        <v>5</v>
      </c>
      <c r="B9" s="7" t="s">
        <v>555</v>
      </c>
      <c r="C9" s="7" t="s">
        <v>556</v>
      </c>
      <c r="D9" s="7" t="s">
        <v>248</v>
      </c>
      <c r="E9" s="28" t="s">
        <v>322</v>
      </c>
      <c r="F9" s="29" t="n">
        <v>110</v>
      </c>
      <c r="G9" s="29" t="n">
        <v>210</v>
      </c>
      <c r="H9" s="30" t="n">
        <f aca="false">IFERROR((G9-F9)/F9,0)</f>
        <v>0.909090909090909</v>
      </c>
      <c r="I9" s="28" t="s">
        <v>336</v>
      </c>
      <c r="J9" s="28" t="s">
        <v>219</v>
      </c>
      <c r="K9" s="28" t="n">
        <v>6</v>
      </c>
      <c r="L9" s="28" t="n">
        <v>7</v>
      </c>
      <c r="M9" s="28" t="n">
        <v>3</v>
      </c>
      <c r="N9" s="7" t="s">
        <v>220</v>
      </c>
      <c r="O9" s="7" t="s">
        <v>557</v>
      </c>
    </row>
    <row r="10" customFormat="false" ht="23.25" hidden="false" customHeight="true" outlineLevel="0" collapsed="false">
      <c r="A10" s="28" t="n">
        <v>6</v>
      </c>
      <c r="B10" s="7" t="s">
        <v>558</v>
      </c>
      <c r="C10" s="7" t="s">
        <v>559</v>
      </c>
      <c r="D10" s="7" t="s">
        <v>543</v>
      </c>
      <c r="E10" s="28" t="s">
        <v>322</v>
      </c>
      <c r="F10" s="29" t="n">
        <v>75</v>
      </c>
      <c r="G10" s="29" t="n">
        <v>150</v>
      </c>
      <c r="H10" s="30" t="n">
        <f aca="false">IFERROR((G10-F10)/F10,0)</f>
        <v>1</v>
      </c>
      <c r="I10" s="28" t="s">
        <v>20</v>
      </c>
      <c r="J10" s="28" t="s">
        <v>209</v>
      </c>
      <c r="K10" s="28" t="n">
        <v>5</v>
      </c>
      <c r="L10" s="28" t="n">
        <v>6</v>
      </c>
      <c r="M10" s="28" t="n">
        <v>3</v>
      </c>
      <c r="N10" s="7" t="s">
        <v>220</v>
      </c>
      <c r="O10" s="7" t="s">
        <v>560</v>
      </c>
    </row>
    <row r="12" customFormat="false" ht="15" hidden="false" customHeight="true" outlineLevel="0" collapsed="false">
      <c r="B12" s="31" t="s">
        <v>269</v>
      </c>
      <c r="F12" s="32" t="n">
        <f aca="false">AVERAGE(F5:F10)</f>
        <v>115</v>
      </c>
      <c r="G12" s="32" t="n">
        <f aca="false">AVERAGE(G5:G10)</f>
        <v>225</v>
      </c>
      <c r="H12" s="33" t="n">
        <f aca="false">AVERAGE(H5:H10)</f>
        <v>0.957293501728839</v>
      </c>
      <c r="K12" s="34" t="n">
        <f aca="false">AVERAGE(K5:K10)</f>
        <v>6</v>
      </c>
      <c r="L12" s="34" t="n">
        <f aca="false">AVERAGE(L5:L10)</f>
        <v>7.16666666666667</v>
      </c>
    </row>
  </sheetData>
  <mergeCells count="2">
    <mergeCell ref="A1:O1"/>
    <mergeCell ref="A2:O2"/>
  </mergeCells>
  <conditionalFormatting sqref="L5:L10">
    <cfRule type="colorScale" priority="2">
      <colorScale>
        <cfvo type="num" val="1"/>
        <cfvo type="num" val="5"/>
        <cfvo type="num" val="10"/>
        <color rgb="FFF8696B"/>
        <color rgb="FFFFEB84"/>
        <color rgb="FF63BE7B"/>
      </colorScale>
    </cfRule>
  </conditionalFormatting>
  <conditionalFormatting sqref="H5:H10">
    <cfRule type="colorScale" priority="3">
      <colorScale>
        <cfvo type="num" val="-0.2"/>
        <cfvo type="num" val="0.5"/>
        <cfvo type="num" val="2"/>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4" min="3" style="1" width="22"/>
    <col collapsed="false" customWidth="true" hidden="false" outlineLevel="0" max="5" min="5" style="1" width="11"/>
    <col collapsed="false" customWidth="true" hidden="false" outlineLevel="0" max="7" min="6" style="1" width="12"/>
    <col collapsed="false" customWidth="true" hidden="false" outlineLevel="0" max="8" min="8" style="1" width="9"/>
    <col collapsed="false" customWidth="true" hidden="false" outlineLevel="0" max="9" min="9" style="1" width="12"/>
    <col collapsed="false" customWidth="true" hidden="false" outlineLevel="0" max="11" min="10" style="1" width="10"/>
    <col collapsed="false" customWidth="true" hidden="false" outlineLevel="0" max="12" min="12" style="1" width="11"/>
    <col collapsed="false" customWidth="true" hidden="false" outlineLevel="0" max="13" min="13" style="1" width="8"/>
    <col collapsed="false" customWidth="true" hidden="false" outlineLevel="0" max="14" min="14" style="1" width="22"/>
    <col collapsed="false" customWidth="true" hidden="false" outlineLevel="0" max="15" min="15" style="1" width="45"/>
  </cols>
  <sheetData>
    <row r="1" customFormat="false" ht="19.5" hidden="false" customHeight="true" outlineLevel="0" collapsed="false">
      <c r="A1" s="2" t="s">
        <v>561</v>
      </c>
      <c r="B1" s="2"/>
      <c r="C1" s="2"/>
      <c r="D1" s="2"/>
      <c r="E1" s="2"/>
      <c r="F1" s="2"/>
      <c r="G1" s="2"/>
      <c r="H1" s="2"/>
      <c r="I1" s="2"/>
      <c r="J1" s="2"/>
      <c r="K1" s="2"/>
      <c r="L1" s="2"/>
      <c r="M1" s="2"/>
      <c r="N1" s="2"/>
      <c r="O1" s="2"/>
    </row>
    <row r="2" customFormat="false" ht="15" hidden="false" customHeight="true" outlineLevel="0" collapsed="false">
      <c r="A2" s="3" t="s">
        <v>562</v>
      </c>
      <c r="B2" s="3"/>
      <c r="C2" s="3"/>
      <c r="D2" s="3"/>
      <c r="E2" s="3"/>
      <c r="F2" s="3"/>
      <c r="G2" s="3"/>
      <c r="H2" s="3"/>
      <c r="I2" s="3"/>
      <c r="J2" s="3"/>
      <c r="K2" s="3"/>
      <c r="L2" s="3"/>
      <c r="M2" s="3"/>
      <c r="N2" s="3"/>
      <c r="O2" s="3"/>
    </row>
    <row r="4" customFormat="false" ht="26.25" hidden="false" customHeight="true" outlineLevel="0" collapsed="false">
      <c r="A4" s="5" t="s">
        <v>92</v>
      </c>
      <c r="B4" s="5" t="s">
        <v>195</v>
      </c>
      <c r="C4" s="5" t="s">
        <v>139</v>
      </c>
      <c r="D4" s="5" t="s">
        <v>196</v>
      </c>
      <c r="E4" s="5" t="s">
        <v>197</v>
      </c>
      <c r="F4" s="5" t="s">
        <v>198</v>
      </c>
      <c r="G4" s="5" t="s">
        <v>199</v>
      </c>
      <c r="H4" s="5" t="s">
        <v>142</v>
      </c>
      <c r="I4" s="5" t="s">
        <v>200</v>
      </c>
      <c r="J4" s="5" t="s">
        <v>201</v>
      </c>
      <c r="K4" s="5" t="s">
        <v>202</v>
      </c>
      <c r="L4" s="5" t="s">
        <v>203</v>
      </c>
      <c r="M4" s="5" t="s">
        <v>144</v>
      </c>
      <c r="N4" s="5" t="s">
        <v>204</v>
      </c>
      <c r="O4" s="5" t="s">
        <v>205</v>
      </c>
    </row>
    <row r="5" customFormat="false" ht="15" hidden="false" customHeight="true" outlineLevel="0" collapsed="false">
      <c r="A5" s="28" t="n">
        <v>1</v>
      </c>
      <c r="B5" s="7" t="s">
        <v>563</v>
      </c>
      <c r="C5" s="7" t="s">
        <v>564</v>
      </c>
      <c r="D5" s="7" t="s">
        <v>565</v>
      </c>
      <c r="E5" s="28" t="s">
        <v>322</v>
      </c>
      <c r="F5" s="29" t="n">
        <v>110</v>
      </c>
      <c r="G5" s="29" t="n">
        <v>230</v>
      </c>
      <c r="H5" s="30" t="n">
        <f aca="false">IFERROR((G5-F5)/F5,0)</f>
        <v>1.09090909090909</v>
      </c>
      <c r="I5" s="28" t="s">
        <v>20</v>
      </c>
      <c r="J5" s="28" t="s">
        <v>219</v>
      </c>
      <c r="K5" s="28" t="n">
        <v>7</v>
      </c>
      <c r="L5" s="28" t="n">
        <v>8</v>
      </c>
      <c r="M5" s="28" t="n">
        <v>3</v>
      </c>
      <c r="N5" s="7" t="s">
        <v>220</v>
      </c>
      <c r="O5" s="7" t="s">
        <v>566</v>
      </c>
    </row>
    <row r="6" customFormat="false" ht="23.25" hidden="false" customHeight="true" outlineLevel="0" collapsed="false">
      <c r="A6" s="28" t="n">
        <v>2</v>
      </c>
      <c r="B6" s="7" t="s">
        <v>567</v>
      </c>
      <c r="C6" s="7" t="s">
        <v>568</v>
      </c>
      <c r="D6" s="7" t="s">
        <v>569</v>
      </c>
      <c r="E6" s="28" t="s">
        <v>322</v>
      </c>
      <c r="F6" s="29" t="n">
        <v>130</v>
      </c>
      <c r="G6" s="29" t="n">
        <v>250</v>
      </c>
      <c r="H6" s="30" t="n">
        <f aca="false">IFERROR((G6-F6)/F6,0)</f>
        <v>0.923076923076923</v>
      </c>
      <c r="I6" s="28" t="s">
        <v>20</v>
      </c>
      <c r="J6" s="28" t="s">
        <v>219</v>
      </c>
      <c r="K6" s="28" t="n">
        <v>7</v>
      </c>
      <c r="L6" s="28" t="n">
        <v>8</v>
      </c>
      <c r="M6" s="28" t="n">
        <v>3</v>
      </c>
      <c r="N6" s="7" t="s">
        <v>220</v>
      </c>
      <c r="O6" s="7" t="s">
        <v>570</v>
      </c>
    </row>
    <row r="7" customFormat="false" ht="15" hidden="false" customHeight="true" outlineLevel="0" collapsed="false">
      <c r="A7" s="28" t="n">
        <v>3</v>
      </c>
      <c r="B7" s="7" t="s">
        <v>571</v>
      </c>
      <c r="C7" s="7" t="s">
        <v>564</v>
      </c>
      <c r="D7" s="7" t="s">
        <v>572</v>
      </c>
      <c r="E7" s="28" t="s">
        <v>322</v>
      </c>
      <c r="F7" s="29" t="n">
        <v>85</v>
      </c>
      <c r="G7" s="29" t="n">
        <v>180</v>
      </c>
      <c r="H7" s="30" t="n">
        <f aca="false">IFERROR((G7-F7)/F7,0)</f>
        <v>1.11764705882353</v>
      </c>
      <c r="I7" s="28" t="s">
        <v>20</v>
      </c>
      <c r="J7" s="28" t="s">
        <v>219</v>
      </c>
      <c r="K7" s="28" t="n">
        <v>7</v>
      </c>
      <c r="L7" s="28" t="n">
        <v>7</v>
      </c>
      <c r="M7" s="28" t="n">
        <v>3</v>
      </c>
      <c r="N7" s="7" t="s">
        <v>220</v>
      </c>
      <c r="O7" s="7" t="s">
        <v>573</v>
      </c>
    </row>
    <row r="8" customFormat="false" ht="23.25" hidden="false" customHeight="true" outlineLevel="0" collapsed="false">
      <c r="A8" s="28" t="n">
        <v>4</v>
      </c>
      <c r="B8" s="7" t="s">
        <v>574</v>
      </c>
      <c r="C8" s="7" t="s">
        <v>575</v>
      </c>
      <c r="D8" s="7" t="s">
        <v>569</v>
      </c>
      <c r="E8" s="28" t="s">
        <v>322</v>
      </c>
      <c r="F8" s="29" t="n">
        <v>95</v>
      </c>
      <c r="G8" s="29" t="n">
        <v>200</v>
      </c>
      <c r="H8" s="30" t="n">
        <f aca="false">IFERROR((G8-F8)/F8,0)</f>
        <v>1.10526315789474</v>
      </c>
      <c r="I8" s="28" t="s">
        <v>20</v>
      </c>
      <c r="J8" s="28" t="s">
        <v>219</v>
      </c>
      <c r="K8" s="28" t="n">
        <v>6</v>
      </c>
      <c r="L8" s="28" t="n">
        <v>7</v>
      </c>
      <c r="M8" s="28" t="n">
        <v>3</v>
      </c>
      <c r="N8" s="7" t="s">
        <v>220</v>
      </c>
      <c r="O8" s="7" t="s">
        <v>576</v>
      </c>
    </row>
    <row r="9" customFormat="false" ht="23.25" hidden="false" customHeight="true" outlineLevel="0" collapsed="false">
      <c r="A9" s="28" t="n">
        <v>5</v>
      </c>
      <c r="B9" s="7" t="s">
        <v>577</v>
      </c>
      <c r="C9" s="7" t="s">
        <v>575</v>
      </c>
      <c r="D9" s="7" t="s">
        <v>565</v>
      </c>
      <c r="E9" s="28" t="s">
        <v>322</v>
      </c>
      <c r="F9" s="29" t="n">
        <v>105</v>
      </c>
      <c r="G9" s="29" t="n">
        <v>210</v>
      </c>
      <c r="H9" s="30" t="n">
        <f aca="false">IFERROR((G9-F9)/F9,0)</f>
        <v>1</v>
      </c>
      <c r="I9" s="28" t="s">
        <v>20</v>
      </c>
      <c r="J9" s="28" t="s">
        <v>219</v>
      </c>
      <c r="K9" s="28" t="n">
        <v>6</v>
      </c>
      <c r="L9" s="28" t="n">
        <v>7</v>
      </c>
      <c r="M9" s="28" t="n">
        <v>3</v>
      </c>
      <c r="N9" s="7" t="s">
        <v>220</v>
      </c>
      <c r="O9" s="7" t="s">
        <v>578</v>
      </c>
    </row>
    <row r="11" customFormat="false" ht="15" hidden="false" customHeight="true" outlineLevel="0" collapsed="false">
      <c r="B11" s="31" t="s">
        <v>269</v>
      </c>
      <c r="F11" s="32" t="n">
        <f aca="false">AVERAGE(F5:F9)</f>
        <v>105</v>
      </c>
      <c r="G11" s="32" t="n">
        <f aca="false">AVERAGE(G5:G9)</f>
        <v>214</v>
      </c>
      <c r="H11" s="33" t="n">
        <f aca="false">AVERAGE(H5:H9)</f>
        <v>1.04737924614086</v>
      </c>
      <c r="K11" s="34" t="n">
        <f aca="false">AVERAGE(K5:K9)</f>
        <v>6.6</v>
      </c>
      <c r="L11" s="34" t="n">
        <f aca="false">AVERAGE(L5:L9)</f>
        <v>7.4</v>
      </c>
    </row>
  </sheetData>
  <mergeCells count="2">
    <mergeCell ref="A1:O1"/>
    <mergeCell ref="A2:O2"/>
  </mergeCells>
  <conditionalFormatting sqref="L5:L9">
    <cfRule type="colorScale" priority="2">
      <colorScale>
        <cfvo type="num" val="1"/>
        <cfvo type="num" val="5"/>
        <cfvo type="num" val="10"/>
        <color rgb="FFF8696B"/>
        <color rgb="FFFFEB84"/>
        <color rgb="FF63BE7B"/>
      </colorScale>
    </cfRule>
  </conditionalFormatting>
  <conditionalFormatting sqref="H5:H9">
    <cfRule type="colorScale" priority="3">
      <colorScale>
        <cfvo type="num" val="-0.2"/>
        <cfvo type="num" val="0.5"/>
        <cfvo type="num" val="2"/>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4" min="3" style="1" width="22"/>
    <col collapsed="false" customWidth="true" hidden="false" outlineLevel="0" max="5" min="5" style="1" width="11"/>
    <col collapsed="false" customWidth="true" hidden="false" outlineLevel="0" max="7" min="6" style="1" width="12"/>
    <col collapsed="false" customWidth="true" hidden="false" outlineLevel="0" max="8" min="8" style="1" width="9"/>
    <col collapsed="false" customWidth="true" hidden="false" outlineLevel="0" max="9" min="9" style="1" width="12"/>
    <col collapsed="false" customWidth="true" hidden="false" outlineLevel="0" max="11" min="10" style="1" width="10"/>
    <col collapsed="false" customWidth="true" hidden="false" outlineLevel="0" max="12" min="12" style="1" width="11"/>
    <col collapsed="false" customWidth="true" hidden="false" outlineLevel="0" max="13" min="13" style="1" width="8"/>
    <col collapsed="false" customWidth="true" hidden="false" outlineLevel="0" max="14" min="14" style="1" width="22"/>
    <col collapsed="false" customWidth="true" hidden="false" outlineLevel="0" max="15" min="15" style="1" width="45"/>
  </cols>
  <sheetData>
    <row r="1" customFormat="false" ht="19.5" hidden="false" customHeight="true" outlineLevel="0" collapsed="false">
      <c r="A1" s="2" t="s">
        <v>579</v>
      </c>
      <c r="B1" s="2"/>
      <c r="C1" s="2"/>
      <c r="D1" s="2"/>
      <c r="E1" s="2"/>
      <c r="F1" s="2"/>
      <c r="G1" s="2"/>
      <c r="H1" s="2"/>
      <c r="I1" s="2"/>
      <c r="J1" s="2"/>
      <c r="K1" s="2"/>
      <c r="L1" s="2"/>
      <c r="M1" s="2"/>
      <c r="N1" s="2"/>
      <c r="O1" s="2"/>
    </row>
    <row r="2" customFormat="false" ht="15" hidden="false" customHeight="true" outlineLevel="0" collapsed="false">
      <c r="A2" s="3" t="s">
        <v>580</v>
      </c>
      <c r="B2" s="3"/>
      <c r="C2" s="3"/>
      <c r="D2" s="3"/>
      <c r="E2" s="3"/>
      <c r="F2" s="3"/>
      <c r="G2" s="3"/>
      <c r="H2" s="3"/>
      <c r="I2" s="3"/>
      <c r="J2" s="3"/>
      <c r="K2" s="3"/>
      <c r="L2" s="3"/>
      <c r="M2" s="3"/>
      <c r="N2" s="3"/>
      <c r="O2" s="3"/>
    </row>
    <row r="4" customFormat="false" ht="26.25" hidden="false" customHeight="true" outlineLevel="0" collapsed="false">
      <c r="A4" s="5" t="s">
        <v>92</v>
      </c>
      <c r="B4" s="5" t="s">
        <v>195</v>
      </c>
      <c r="C4" s="5" t="s">
        <v>139</v>
      </c>
      <c r="D4" s="5" t="s">
        <v>196</v>
      </c>
      <c r="E4" s="5" t="s">
        <v>197</v>
      </c>
      <c r="F4" s="5" t="s">
        <v>198</v>
      </c>
      <c r="G4" s="5" t="s">
        <v>199</v>
      </c>
      <c r="H4" s="5" t="s">
        <v>142</v>
      </c>
      <c r="I4" s="5" t="s">
        <v>200</v>
      </c>
      <c r="J4" s="5" t="s">
        <v>201</v>
      </c>
      <c r="K4" s="5" t="s">
        <v>202</v>
      </c>
      <c r="L4" s="5" t="s">
        <v>203</v>
      </c>
      <c r="M4" s="5" t="s">
        <v>144</v>
      </c>
      <c r="N4" s="5" t="s">
        <v>204</v>
      </c>
      <c r="O4" s="5" t="s">
        <v>205</v>
      </c>
    </row>
    <row r="5" customFormat="false" ht="23.25" hidden="false" customHeight="true" outlineLevel="0" collapsed="false">
      <c r="A5" s="28" t="n">
        <v>1</v>
      </c>
      <c r="B5" s="7" t="s">
        <v>581</v>
      </c>
      <c r="C5" s="7" t="s">
        <v>582</v>
      </c>
      <c r="D5" s="7" t="s">
        <v>583</v>
      </c>
      <c r="E5" s="28" t="s">
        <v>322</v>
      </c>
      <c r="F5" s="29" t="n">
        <v>85</v>
      </c>
      <c r="G5" s="29" t="n">
        <v>170</v>
      </c>
      <c r="H5" s="30" t="n">
        <f aca="false">IFERROR((G5-F5)/F5,0)</f>
        <v>1</v>
      </c>
      <c r="I5" s="28" t="s">
        <v>336</v>
      </c>
      <c r="J5" s="28" t="s">
        <v>209</v>
      </c>
      <c r="K5" s="28" t="n">
        <v>5</v>
      </c>
      <c r="L5" s="28" t="n">
        <v>7</v>
      </c>
      <c r="M5" s="28" t="n">
        <v>3</v>
      </c>
      <c r="N5" s="7" t="s">
        <v>220</v>
      </c>
      <c r="O5" s="7" t="s">
        <v>584</v>
      </c>
    </row>
    <row r="6" customFormat="false" ht="23.25" hidden="false" customHeight="true" outlineLevel="0" collapsed="false">
      <c r="A6" s="28" t="n">
        <v>2</v>
      </c>
      <c r="B6" s="7" t="s">
        <v>585</v>
      </c>
      <c r="C6" s="7" t="s">
        <v>586</v>
      </c>
      <c r="D6" s="7" t="s">
        <v>583</v>
      </c>
      <c r="E6" s="28" t="s">
        <v>322</v>
      </c>
      <c r="F6" s="29" t="n">
        <v>105</v>
      </c>
      <c r="G6" s="29" t="n">
        <v>210</v>
      </c>
      <c r="H6" s="30" t="n">
        <f aca="false">IFERROR((G6-F6)/F6,0)</f>
        <v>1</v>
      </c>
      <c r="I6" s="28" t="s">
        <v>336</v>
      </c>
      <c r="J6" s="28" t="s">
        <v>219</v>
      </c>
      <c r="K6" s="28" t="n">
        <v>5</v>
      </c>
      <c r="L6" s="28" t="n">
        <v>7</v>
      </c>
      <c r="M6" s="28" t="n">
        <v>3</v>
      </c>
      <c r="N6" s="7" t="s">
        <v>220</v>
      </c>
      <c r="O6" s="7" t="s">
        <v>587</v>
      </c>
    </row>
    <row r="7" customFormat="false" ht="23.25" hidden="false" customHeight="true" outlineLevel="0" collapsed="false">
      <c r="A7" s="28" t="n">
        <v>3</v>
      </c>
      <c r="B7" s="7" t="s">
        <v>588</v>
      </c>
      <c r="C7" s="7" t="s">
        <v>589</v>
      </c>
      <c r="D7" s="7" t="s">
        <v>583</v>
      </c>
      <c r="E7" s="28" t="s">
        <v>322</v>
      </c>
      <c r="F7" s="29" t="n">
        <v>70</v>
      </c>
      <c r="G7" s="29" t="n">
        <v>145</v>
      </c>
      <c r="H7" s="30" t="n">
        <f aca="false">IFERROR((G7-F7)/F7,0)</f>
        <v>1.07142857142857</v>
      </c>
      <c r="I7" s="28" t="s">
        <v>336</v>
      </c>
      <c r="J7" s="28" t="s">
        <v>209</v>
      </c>
      <c r="K7" s="28" t="n">
        <v>4</v>
      </c>
      <c r="L7" s="28" t="n">
        <v>6</v>
      </c>
      <c r="M7" s="28" t="n">
        <v>3</v>
      </c>
      <c r="N7" s="7" t="s">
        <v>220</v>
      </c>
      <c r="O7" s="7" t="s">
        <v>590</v>
      </c>
    </row>
    <row r="8" customFormat="false" ht="23.25" hidden="false" customHeight="true" outlineLevel="0" collapsed="false">
      <c r="A8" s="28" t="n">
        <v>4</v>
      </c>
      <c r="B8" s="7" t="s">
        <v>591</v>
      </c>
      <c r="C8" s="7" t="s">
        <v>589</v>
      </c>
      <c r="D8" s="7" t="s">
        <v>583</v>
      </c>
      <c r="E8" s="28" t="s">
        <v>322</v>
      </c>
      <c r="F8" s="29" t="n">
        <v>80</v>
      </c>
      <c r="G8" s="29" t="n">
        <v>160</v>
      </c>
      <c r="H8" s="30" t="n">
        <f aca="false">IFERROR((G8-F8)/F8,0)</f>
        <v>1</v>
      </c>
      <c r="I8" s="28" t="s">
        <v>336</v>
      </c>
      <c r="J8" s="28" t="s">
        <v>209</v>
      </c>
      <c r="K8" s="28" t="n">
        <v>4</v>
      </c>
      <c r="L8" s="28" t="n">
        <v>6</v>
      </c>
      <c r="M8" s="28" t="n">
        <v>3</v>
      </c>
      <c r="N8" s="7" t="s">
        <v>220</v>
      </c>
      <c r="O8" s="7" t="s">
        <v>592</v>
      </c>
    </row>
    <row r="10" customFormat="false" ht="15" hidden="false" customHeight="true" outlineLevel="0" collapsed="false">
      <c r="B10" s="31" t="s">
        <v>269</v>
      </c>
      <c r="F10" s="32" t="n">
        <f aca="false">AVERAGE(F5:F8)</f>
        <v>85</v>
      </c>
      <c r="G10" s="32" t="n">
        <f aca="false">AVERAGE(G5:G8)</f>
        <v>171.25</v>
      </c>
      <c r="H10" s="33" t="n">
        <f aca="false">AVERAGE(H5:H8)</f>
        <v>1.01785714285714</v>
      </c>
      <c r="K10" s="34" t="n">
        <f aca="false">AVERAGE(K5:K8)</f>
        <v>4.5</v>
      </c>
      <c r="L10" s="34" t="n">
        <f aca="false">AVERAGE(L5:L8)</f>
        <v>6.5</v>
      </c>
    </row>
  </sheetData>
  <mergeCells count="2">
    <mergeCell ref="A1:O1"/>
    <mergeCell ref="A2:O2"/>
  </mergeCells>
  <conditionalFormatting sqref="L5:L8">
    <cfRule type="colorScale" priority="2">
      <colorScale>
        <cfvo type="num" val="1"/>
        <cfvo type="num" val="5"/>
        <cfvo type="num" val="10"/>
        <color rgb="FFF8696B"/>
        <color rgb="FFFFEB84"/>
        <color rgb="FF63BE7B"/>
      </colorScale>
    </cfRule>
  </conditionalFormatting>
  <conditionalFormatting sqref="H5:H8">
    <cfRule type="colorScale" priority="3">
      <colorScale>
        <cfvo type="num" val="-0.2"/>
        <cfvo type="num" val="0.5"/>
        <cfvo type="num" val="2"/>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4" min="3" style="1" width="22"/>
    <col collapsed="false" customWidth="true" hidden="false" outlineLevel="0" max="5" min="5" style="1" width="11"/>
    <col collapsed="false" customWidth="true" hidden="false" outlineLevel="0" max="7" min="6" style="1" width="12"/>
    <col collapsed="false" customWidth="true" hidden="false" outlineLevel="0" max="8" min="8" style="1" width="9"/>
    <col collapsed="false" customWidth="true" hidden="false" outlineLevel="0" max="9" min="9" style="1" width="12"/>
    <col collapsed="false" customWidth="true" hidden="false" outlineLevel="0" max="11" min="10" style="1" width="10"/>
    <col collapsed="false" customWidth="true" hidden="false" outlineLevel="0" max="12" min="12" style="1" width="11"/>
    <col collapsed="false" customWidth="true" hidden="false" outlineLevel="0" max="13" min="13" style="1" width="8"/>
    <col collapsed="false" customWidth="true" hidden="false" outlineLevel="0" max="14" min="14" style="1" width="22"/>
    <col collapsed="false" customWidth="true" hidden="false" outlineLevel="0" max="15" min="15" style="1" width="45"/>
  </cols>
  <sheetData>
    <row r="1" customFormat="false" ht="19.5" hidden="false" customHeight="true" outlineLevel="0" collapsed="false">
      <c r="A1" s="2" t="s">
        <v>593</v>
      </c>
      <c r="B1" s="2"/>
      <c r="C1" s="2"/>
      <c r="D1" s="2"/>
      <c r="E1" s="2"/>
      <c r="F1" s="2"/>
      <c r="G1" s="2"/>
      <c r="H1" s="2"/>
      <c r="I1" s="2"/>
      <c r="J1" s="2"/>
      <c r="K1" s="2"/>
      <c r="L1" s="2"/>
      <c r="M1" s="2"/>
      <c r="N1" s="2"/>
      <c r="O1" s="2"/>
    </row>
    <row r="2" customFormat="false" ht="15" hidden="false" customHeight="true" outlineLevel="0" collapsed="false">
      <c r="A2" s="3" t="s">
        <v>594</v>
      </c>
      <c r="B2" s="3"/>
      <c r="C2" s="3"/>
      <c r="D2" s="3"/>
      <c r="E2" s="3"/>
      <c r="F2" s="3"/>
      <c r="G2" s="3"/>
      <c r="H2" s="3"/>
      <c r="I2" s="3"/>
      <c r="J2" s="3"/>
      <c r="K2" s="3"/>
      <c r="L2" s="3"/>
      <c r="M2" s="3"/>
      <c r="N2" s="3"/>
      <c r="O2" s="3"/>
    </row>
    <row r="4" customFormat="false" ht="26.25" hidden="false" customHeight="true" outlineLevel="0" collapsed="false">
      <c r="A4" s="5" t="s">
        <v>92</v>
      </c>
      <c r="B4" s="5" t="s">
        <v>195</v>
      </c>
      <c r="C4" s="5" t="s">
        <v>139</v>
      </c>
      <c r="D4" s="5" t="s">
        <v>196</v>
      </c>
      <c r="E4" s="5" t="s">
        <v>197</v>
      </c>
      <c r="F4" s="5" t="s">
        <v>198</v>
      </c>
      <c r="G4" s="5" t="s">
        <v>199</v>
      </c>
      <c r="H4" s="5" t="s">
        <v>142</v>
      </c>
      <c r="I4" s="5" t="s">
        <v>200</v>
      </c>
      <c r="J4" s="5" t="s">
        <v>201</v>
      </c>
      <c r="K4" s="5" t="s">
        <v>202</v>
      </c>
      <c r="L4" s="5" t="s">
        <v>203</v>
      </c>
      <c r="M4" s="5" t="s">
        <v>144</v>
      </c>
      <c r="N4" s="5" t="s">
        <v>204</v>
      </c>
      <c r="O4" s="5" t="s">
        <v>205</v>
      </c>
    </row>
    <row r="5" customFormat="false" ht="23.25" hidden="false" customHeight="true" outlineLevel="0" collapsed="false">
      <c r="A5" s="28" t="n">
        <v>1</v>
      </c>
      <c r="B5" s="7" t="s">
        <v>595</v>
      </c>
      <c r="C5" s="7" t="s">
        <v>596</v>
      </c>
      <c r="D5" s="7" t="s">
        <v>368</v>
      </c>
      <c r="E5" s="28" t="s">
        <v>322</v>
      </c>
      <c r="F5" s="29" t="n">
        <v>170</v>
      </c>
      <c r="G5" s="29" t="n">
        <v>310</v>
      </c>
      <c r="H5" s="30" t="n">
        <f aca="false">IFERROR((G5-F5)/F5,0)</f>
        <v>0.823529411764706</v>
      </c>
      <c r="I5" s="28" t="s">
        <v>336</v>
      </c>
      <c r="J5" s="28" t="s">
        <v>219</v>
      </c>
      <c r="K5" s="28" t="n">
        <v>5</v>
      </c>
      <c r="L5" s="28" t="n">
        <v>7</v>
      </c>
      <c r="M5" s="28" t="n">
        <v>3</v>
      </c>
      <c r="N5" s="7" t="s">
        <v>597</v>
      </c>
      <c r="O5" s="7" t="s">
        <v>598</v>
      </c>
    </row>
    <row r="6" customFormat="false" ht="23.25" hidden="false" customHeight="true" outlineLevel="0" collapsed="false">
      <c r="A6" s="28" t="n">
        <v>2</v>
      </c>
      <c r="B6" s="7" t="s">
        <v>599</v>
      </c>
      <c r="C6" s="7" t="s">
        <v>600</v>
      </c>
      <c r="D6" s="7" t="s">
        <v>368</v>
      </c>
      <c r="E6" s="28" t="s">
        <v>322</v>
      </c>
      <c r="F6" s="29" t="n">
        <v>150</v>
      </c>
      <c r="G6" s="29" t="n">
        <v>280</v>
      </c>
      <c r="H6" s="30" t="n">
        <f aca="false">IFERROR((G6-F6)/F6,0)</f>
        <v>0.866666666666667</v>
      </c>
      <c r="I6" s="28" t="s">
        <v>336</v>
      </c>
      <c r="J6" s="28" t="s">
        <v>209</v>
      </c>
      <c r="K6" s="28" t="n">
        <v>5</v>
      </c>
      <c r="L6" s="28" t="n">
        <v>6</v>
      </c>
      <c r="M6" s="28" t="n">
        <v>3</v>
      </c>
      <c r="N6" s="7" t="s">
        <v>361</v>
      </c>
      <c r="O6" s="7" t="s">
        <v>601</v>
      </c>
    </row>
    <row r="7" customFormat="false" ht="15" hidden="false" customHeight="true" outlineLevel="0" collapsed="false">
      <c r="A7" s="28" t="n">
        <v>3</v>
      </c>
      <c r="B7" s="7" t="s">
        <v>602</v>
      </c>
      <c r="C7" s="7" t="s">
        <v>603</v>
      </c>
      <c r="D7" s="7" t="s">
        <v>604</v>
      </c>
      <c r="E7" s="28" t="s">
        <v>322</v>
      </c>
      <c r="F7" s="29" t="n">
        <v>65</v>
      </c>
      <c r="G7" s="29" t="n">
        <v>130</v>
      </c>
      <c r="H7" s="30" t="n">
        <f aca="false">IFERROR((G7-F7)/F7,0)</f>
        <v>1</v>
      </c>
      <c r="I7" s="28" t="s">
        <v>20</v>
      </c>
      <c r="J7" s="28" t="s">
        <v>209</v>
      </c>
      <c r="K7" s="28" t="n">
        <v>3</v>
      </c>
      <c r="L7" s="28" t="n">
        <v>5</v>
      </c>
      <c r="M7" s="28" t="n">
        <v>3</v>
      </c>
      <c r="N7" s="7" t="s">
        <v>597</v>
      </c>
      <c r="O7" s="7" t="s">
        <v>605</v>
      </c>
    </row>
    <row r="8" customFormat="false" ht="23.25" hidden="false" customHeight="true" outlineLevel="0" collapsed="false">
      <c r="A8" s="28" t="n">
        <v>4</v>
      </c>
      <c r="B8" s="7" t="s">
        <v>606</v>
      </c>
      <c r="C8" s="7" t="s">
        <v>607</v>
      </c>
      <c r="D8" s="7" t="s">
        <v>604</v>
      </c>
      <c r="E8" s="28" t="s">
        <v>322</v>
      </c>
      <c r="F8" s="29" t="n">
        <v>55</v>
      </c>
      <c r="G8" s="29" t="n">
        <v>120</v>
      </c>
      <c r="H8" s="30" t="n">
        <f aca="false">IFERROR((G8-F8)/F8,0)</f>
        <v>1.18181818181818</v>
      </c>
      <c r="I8" s="28" t="s">
        <v>243</v>
      </c>
      <c r="J8" s="28" t="s">
        <v>214</v>
      </c>
      <c r="K8" s="28" t="n">
        <v>4</v>
      </c>
      <c r="L8" s="28" t="n">
        <v>5</v>
      </c>
      <c r="M8" s="28" t="n">
        <v>2</v>
      </c>
      <c r="N8" s="7" t="s">
        <v>220</v>
      </c>
      <c r="O8" s="7" t="s">
        <v>608</v>
      </c>
    </row>
    <row r="9" customFormat="false" ht="23.25" hidden="false" customHeight="true" outlineLevel="0" collapsed="false">
      <c r="A9" s="28" t="n">
        <v>5</v>
      </c>
      <c r="B9" s="7" t="s">
        <v>609</v>
      </c>
      <c r="C9" s="7" t="s">
        <v>610</v>
      </c>
      <c r="D9" s="7" t="s">
        <v>604</v>
      </c>
      <c r="E9" s="28" t="s">
        <v>322</v>
      </c>
      <c r="F9" s="29" t="n">
        <v>45</v>
      </c>
      <c r="G9" s="29" t="n">
        <v>100</v>
      </c>
      <c r="H9" s="30" t="n">
        <f aca="false">IFERROR((G9-F9)/F9,0)</f>
        <v>1.22222222222222</v>
      </c>
      <c r="I9" s="28" t="s">
        <v>243</v>
      </c>
      <c r="J9" s="28" t="s">
        <v>214</v>
      </c>
      <c r="K9" s="28" t="n">
        <v>4</v>
      </c>
      <c r="L9" s="28" t="n">
        <v>5</v>
      </c>
      <c r="M9" s="28" t="n">
        <v>2</v>
      </c>
      <c r="N9" s="7" t="s">
        <v>220</v>
      </c>
      <c r="O9" s="7" t="s">
        <v>611</v>
      </c>
    </row>
    <row r="11" customFormat="false" ht="15" hidden="false" customHeight="true" outlineLevel="0" collapsed="false">
      <c r="B11" s="31" t="s">
        <v>269</v>
      </c>
      <c r="F11" s="32" t="n">
        <f aca="false">AVERAGE(F5:F9)</f>
        <v>97</v>
      </c>
      <c r="G11" s="32" t="n">
        <f aca="false">AVERAGE(G5:G9)</f>
        <v>188</v>
      </c>
      <c r="H11" s="33" t="n">
        <f aca="false">AVERAGE(H5:H9)</f>
        <v>1.01884729649436</v>
      </c>
      <c r="K11" s="34" t="n">
        <f aca="false">AVERAGE(K5:K9)</f>
        <v>4.2</v>
      </c>
      <c r="L11" s="34" t="n">
        <f aca="false">AVERAGE(L5:L9)</f>
        <v>5.6</v>
      </c>
    </row>
  </sheetData>
  <mergeCells count="2">
    <mergeCell ref="A1:O1"/>
    <mergeCell ref="A2:O2"/>
  </mergeCells>
  <conditionalFormatting sqref="L5:L9">
    <cfRule type="colorScale" priority="2">
      <colorScale>
        <cfvo type="num" val="1"/>
        <cfvo type="num" val="5"/>
        <cfvo type="num" val="10"/>
        <color rgb="FFF8696B"/>
        <color rgb="FFFFEB84"/>
        <color rgb="FF63BE7B"/>
      </colorScale>
    </cfRule>
  </conditionalFormatting>
  <conditionalFormatting sqref="H5:H9">
    <cfRule type="colorScale" priority="3">
      <colorScale>
        <cfvo type="num" val="-0.2"/>
        <cfvo type="num" val="0.5"/>
        <cfvo type="num" val="2"/>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5"/>
    <col collapsed="false" customWidth="true" hidden="false" outlineLevel="0" max="7" min="3" style="1" width="20"/>
  </cols>
  <sheetData>
    <row r="1" customFormat="false" ht="19.5" hidden="false" customHeight="true" outlineLevel="0" collapsed="false">
      <c r="A1" s="35" t="s">
        <v>612</v>
      </c>
      <c r="B1" s="35"/>
      <c r="C1" s="35"/>
      <c r="D1" s="35"/>
      <c r="E1" s="35"/>
      <c r="F1" s="35"/>
      <c r="G1" s="35"/>
    </row>
    <row r="2" customFormat="false" ht="15" hidden="false" customHeight="true" outlineLevel="0" collapsed="false">
      <c r="A2" s="3" t="s">
        <v>613</v>
      </c>
      <c r="B2" s="3"/>
      <c r="C2" s="3"/>
      <c r="D2" s="3"/>
      <c r="E2" s="3"/>
      <c r="F2" s="3"/>
      <c r="G2" s="3"/>
    </row>
    <row r="4" customFormat="false" ht="15" hidden="false" customHeight="true" outlineLevel="0" collapsed="false">
      <c r="A4" s="5" t="s">
        <v>614</v>
      </c>
      <c r="B4" s="5" t="s">
        <v>615</v>
      </c>
    </row>
    <row r="5" customFormat="false" ht="34.5" hidden="false" customHeight="true" outlineLevel="0" collapsed="false">
      <c r="A5" s="31" t="s">
        <v>616</v>
      </c>
      <c r="B5" s="7" t="s">
        <v>617</v>
      </c>
    </row>
    <row r="6" customFormat="false" ht="34.5" hidden="false" customHeight="true" outlineLevel="0" collapsed="false">
      <c r="A6" s="31" t="s">
        <v>618</v>
      </c>
      <c r="B6" s="7" t="s">
        <v>619</v>
      </c>
    </row>
    <row r="7" customFormat="false" ht="34.5" hidden="false" customHeight="true" outlineLevel="0" collapsed="false">
      <c r="A7" s="31" t="s">
        <v>620</v>
      </c>
      <c r="B7" s="7" t="s">
        <v>621</v>
      </c>
    </row>
    <row r="8" customFormat="false" ht="23.25" hidden="false" customHeight="true" outlineLevel="0" collapsed="false">
      <c r="A8" s="31" t="s">
        <v>622</v>
      </c>
      <c r="B8" s="7" t="s">
        <v>623</v>
      </c>
    </row>
    <row r="9" customFormat="false" ht="23.25" hidden="false" customHeight="true" outlineLevel="0" collapsed="false">
      <c r="A9" s="31" t="s">
        <v>624</v>
      </c>
      <c r="B9" s="7" t="s">
        <v>625</v>
      </c>
    </row>
    <row r="10" customFormat="false" ht="34.5" hidden="false" customHeight="true" outlineLevel="0" collapsed="false">
      <c r="A10" s="31" t="s">
        <v>626</v>
      </c>
      <c r="B10" s="7" t="s">
        <v>627</v>
      </c>
    </row>
    <row r="11" customFormat="false" ht="34.5" hidden="false" customHeight="true" outlineLevel="0" collapsed="false">
      <c r="A11" s="31" t="s">
        <v>628</v>
      </c>
      <c r="B11" s="7" t="s">
        <v>629</v>
      </c>
    </row>
    <row r="14" customFormat="false" ht="15" hidden="false" customHeight="true" outlineLevel="0" collapsed="false">
      <c r="A14" s="8" t="s">
        <v>630</v>
      </c>
    </row>
    <row r="15" customFormat="false" ht="15" hidden="false" customHeight="true" outlineLevel="0" collapsed="false">
      <c r="A15" s="8" t="s">
        <v>631</v>
      </c>
      <c r="B15" s="10" t="s">
        <v>632</v>
      </c>
      <c r="C15" s="10"/>
      <c r="D15" s="10"/>
      <c r="E15" s="10"/>
      <c r="F15" s="10"/>
      <c r="G15" s="10"/>
    </row>
    <row r="16" customFormat="false" ht="15" hidden="false" customHeight="true" outlineLevel="0" collapsed="false">
      <c r="A16" s="8" t="s">
        <v>633</v>
      </c>
      <c r="B16" s="10" t="s">
        <v>634</v>
      </c>
      <c r="C16" s="10"/>
      <c r="D16" s="10"/>
      <c r="E16" s="10"/>
      <c r="F16" s="10"/>
      <c r="G16" s="10"/>
    </row>
    <row r="17" customFormat="false" ht="15" hidden="false" customHeight="true" outlineLevel="0" collapsed="false">
      <c r="A17" s="8" t="s">
        <v>635</v>
      </c>
      <c r="B17" s="10" t="s">
        <v>636</v>
      </c>
      <c r="C17" s="10"/>
      <c r="D17" s="10"/>
      <c r="E17" s="10"/>
      <c r="F17" s="10"/>
      <c r="G17" s="10"/>
    </row>
    <row r="18" customFormat="false" ht="15" hidden="false" customHeight="true" outlineLevel="0" collapsed="false">
      <c r="A18" s="8" t="s">
        <v>637</v>
      </c>
      <c r="B18" s="10" t="s">
        <v>638</v>
      </c>
      <c r="C18" s="10"/>
      <c r="D18" s="10"/>
      <c r="E18" s="10"/>
      <c r="F18" s="10"/>
      <c r="G18" s="10"/>
    </row>
    <row r="19" customFormat="false" ht="15" hidden="false" customHeight="true" outlineLevel="0" collapsed="false">
      <c r="A19" s="8" t="s">
        <v>639</v>
      </c>
      <c r="B19" s="10" t="s">
        <v>640</v>
      </c>
      <c r="C19" s="10"/>
      <c r="D19" s="10"/>
      <c r="E19" s="10"/>
      <c r="F19" s="10"/>
      <c r="G19" s="10"/>
    </row>
    <row r="20" customFormat="false" ht="15" hidden="false" customHeight="true" outlineLevel="0" collapsed="false">
      <c r="A20" s="8" t="s">
        <v>641</v>
      </c>
      <c r="B20" s="10" t="s">
        <v>642</v>
      </c>
      <c r="C20" s="10"/>
      <c r="D20" s="10"/>
      <c r="E20" s="10"/>
      <c r="F20" s="10"/>
      <c r="G20" s="10"/>
    </row>
  </sheetData>
  <mergeCells count="8">
    <mergeCell ref="A1:G1"/>
    <mergeCell ref="A2:G2"/>
    <mergeCell ref="B15:G15"/>
    <mergeCell ref="B16:G16"/>
    <mergeCell ref="B17:G17"/>
    <mergeCell ref="B18:G18"/>
    <mergeCell ref="B19:G19"/>
    <mergeCell ref="B20:G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0"/>
    <col collapsed="false" customWidth="true" hidden="false" outlineLevel="0" max="3" min="3" style="1" width="32"/>
    <col collapsed="false" customWidth="true" hidden="false" outlineLevel="0" max="4" min="4" style="1" width="28"/>
    <col collapsed="false" customWidth="true" hidden="false" outlineLevel="0" max="5" min="5" style="1" width="22"/>
    <col collapsed="false" customWidth="true" hidden="false" outlineLevel="0" max="6" min="6" style="1" width="40"/>
  </cols>
  <sheetData>
    <row r="1" customFormat="false" ht="19.5" hidden="false" customHeight="true" outlineLevel="0" collapsed="false">
      <c r="A1" s="2" t="s">
        <v>643</v>
      </c>
      <c r="B1" s="2"/>
      <c r="C1" s="2"/>
      <c r="D1" s="2"/>
      <c r="E1" s="2"/>
      <c r="F1" s="2"/>
    </row>
    <row r="2" customFormat="false" ht="15" hidden="false" customHeight="true" outlineLevel="0" collapsed="false">
      <c r="A2" s="3" t="s">
        <v>644</v>
      </c>
      <c r="B2" s="3"/>
      <c r="C2" s="3"/>
      <c r="D2" s="3"/>
      <c r="E2" s="3"/>
      <c r="F2" s="3"/>
    </row>
    <row r="4" customFormat="false" ht="15" hidden="false" customHeight="true" outlineLevel="0" collapsed="false">
      <c r="A4" s="5" t="s">
        <v>645</v>
      </c>
      <c r="B4" s="5" t="s">
        <v>646</v>
      </c>
      <c r="C4" s="5" t="s">
        <v>647</v>
      </c>
      <c r="D4" s="5" t="s">
        <v>648</v>
      </c>
      <c r="E4" s="5" t="s">
        <v>649</v>
      </c>
      <c r="F4" s="5" t="s">
        <v>10</v>
      </c>
    </row>
    <row r="5" customFormat="false" ht="23.25" hidden="false" customHeight="true" outlineLevel="0" collapsed="false">
      <c r="A5" s="7" t="s">
        <v>650</v>
      </c>
      <c r="B5" s="7" t="s">
        <v>651</v>
      </c>
      <c r="C5" s="7" t="s">
        <v>652</v>
      </c>
      <c r="D5" s="7" t="s">
        <v>653</v>
      </c>
      <c r="E5" s="7" t="s">
        <v>654</v>
      </c>
      <c r="F5" s="7" t="s">
        <v>655</v>
      </c>
    </row>
    <row r="6" customFormat="false" ht="23.25" hidden="false" customHeight="true" outlineLevel="0" collapsed="false">
      <c r="A6" s="7" t="s">
        <v>656</v>
      </c>
      <c r="B6" s="7" t="s">
        <v>657</v>
      </c>
      <c r="C6" s="7" t="s">
        <v>658</v>
      </c>
      <c r="D6" s="7" t="s">
        <v>659</v>
      </c>
      <c r="E6" s="7" t="s">
        <v>660</v>
      </c>
      <c r="F6" s="7" t="s">
        <v>661</v>
      </c>
    </row>
    <row r="7" customFormat="false" ht="23.25" hidden="false" customHeight="true" outlineLevel="0" collapsed="false">
      <c r="A7" s="7" t="s">
        <v>662</v>
      </c>
      <c r="B7" s="7" t="s">
        <v>663</v>
      </c>
      <c r="C7" s="7" t="s">
        <v>664</v>
      </c>
      <c r="D7" s="7" t="s">
        <v>665</v>
      </c>
      <c r="E7" s="7" t="s">
        <v>666</v>
      </c>
      <c r="F7" s="7" t="s">
        <v>667</v>
      </c>
    </row>
    <row r="8" customFormat="false" ht="23.25" hidden="false" customHeight="true" outlineLevel="0" collapsed="false">
      <c r="A8" s="7" t="s">
        <v>668</v>
      </c>
      <c r="B8" s="7" t="s">
        <v>669</v>
      </c>
      <c r="C8" s="7" t="s">
        <v>670</v>
      </c>
      <c r="D8" s="7" t="s">
        <v>671</v>
      </c>
      <c r="E8" s="7" t="s">
        <v>672</v>
      </c>
      <c r="F8" s="7" t="s">
        <v>673</v>
      </c>
    </row>
    <row r="9" customFormat="false" ht="23.25" hidden="false" customHeight="true" outlineLevel="0" collapsed="false">
      <c r="A9" s="7" t="s">
        <v>674</v>
      </c>
      <c r="B9" s="7" t="s">
        <v>675</v>
      </c>
      <c r="C9" s="7" t="s">
        <v>676</v>
      </c>
      <c r="D9" s="7" t="s">
        <v>677</v>
      </c>
      <c r="E9" s="7" t="s">
        <v>678</v>
      </c>
      <c r="F9" s="7" t="s">
        <v>679</v>
      </c>
    </row>
    <row r="10" customFormat="false" ht="23.25" hidden="false" customHeight="true" outlineLevel="0" collapsed="false">
      <c r="A10" s="7" t="s">
        <v>680</v>
      </c>
      <c r="B10" s="7" t="s">
        <v>681</v>
      </c>
      <c r="C10" s="7" t="s">
        <v>682</v>
      </c>
      <c r="D10" s="7" t="s">
        <v>683</v>
      </c>
      <c r="E10" s="7" t="s">
        <v>666</v>
      </c>
      <c r="F10" s="7" t="s">
        <v>684</v>
      </c>
    </row>
    <row r="11" customFormat="false" ht="23.25" hidden="false" customHeight="true" outlineLevel="0" collapsed="false">
      <c r="A11" s="7" t="s">
        <v>685</v>
      </c>
      <c r="B11" s="7" t="s">
        <v>686</v>
      </c>
      <c r="C11" s="7" t="s">
        <v>687</v>
      </c>
      <c r="D11" s="7" t="s">
        <v>688</v>
      </c>
      <c r="E11" s="7" t="s">
        <v>689</v>
      </c>
      <c r="F11" s="7" t="s">
        <v>690</v>
      </c>
    </row>
    <row r="12" customFormat="false" ht="15" hidden="false" customHeight="true" outlineLevel="0" collapsed="false">
      <c r="A12" s="7" t="s">
        <v>691</v>
      </c>
      <c r="B12" s="7" t="s">
        <v>692</v>
      </c>
      <c r="C12" s="7" t="s">
        <v>693</v>
      </c>
      <c r="D12" s="7" t="s">
        <v>694</v>
      </c>
      <c r="E12" s="7" t="s">
        <v>666</v>
      </c>
      <c r="F12" s="7" t="s">
        <v>695</v>
      </c>
    </row>
    <row r="13" customFormat="false" ht="23.25" hidden="false" customHeight="true" outlineLevel="0" collapsed="false">
      <c r="A13" s="7" t="s">
        <v>696</v>
      </c>
      <c r="B13" s="7" t="s">
        <v>697</v>
      </c>
      <c r="C13" s="7" t="s">
        <v>698</v>
      </c>
      <c r="D13" s="7" t="s">
        <v>699</v>
      </c>
      <c r="E13" s="7" t="s">
        <v>700</v>
      </c>
      <c r="F13" s="7" t="s">
        <v>701</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2026-04-19T22:56:16Z</dcterms:created>
  <dc:creator>openpyxl</dc:creator>
  <dc:description/>
  <dc:language>en-US</dc:language>
  <cp:lastModifiedBy/>
  <dcterms:modified xsi:type="dcterms:W3CDTF">2026-06-14T20:36:35Z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