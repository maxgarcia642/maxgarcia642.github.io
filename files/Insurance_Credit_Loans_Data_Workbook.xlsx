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. Insurance by Line" sheetId="2" state="visible" r:id="rId4"/>
    <sheet name="2. Health Insurance" sheetId="3" state="visible" r:id="rId5"/>
    <sheet name="3. Life &amp; Disability" sheetId="4" state="visible" r:id="rId6"/>
    <sheet name="4. Carrier Ratings" sheetId="5" state="visible" r:id="rId7"/>
    <sheet name="5. Retirement Accounts" sheetId="6" state="visible" r:id="rId8"/>
    <sheet name="6. Compounding Calculator" sheetId="7" state="visible" r:id="rId9"/>
    <sheet name="7. Credit Cards" sheetId="8" state="visible" r:id="rId10"/>
    <sheet name="8. Loans &amp; Lending" sheetId="9" state="visible" r:id="rId11"/>
    <sheet name="9. Benefits Comparison" sheetId="10" state="visible" r:id="rId12"/>
    <sheet name="10. Source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<sst xmlns="http://schemas.openxmlformats.org/spreadsheetml/2006/main" count="403" uniqueCount="358">
  <si>
    <t xml:space="preserve">Insurance, Credit &amp; Loans: A Data Workbook</t>
  </si>
  <si>
    <t xml:space="preserve">Quantitative companion to the research paper — for public education and general analysis</t>
  </si>
  <si>
    <t xml:space="preserve">All figures are 2024–2026 vintage and source-cited. Depersonalized; contains no individual's data.</t>
  </si>
  <si>
    <t xml:space="preserve">Contents</t>
  </si>
  <si>
    <t xml:space="preserve">Tab</t>
  </si>
  <si>
    <t xml:space="preserve">What it contains</t>
  </si>
  <si>
    <t xml:space="preserve">1. Insurance by Line</t>
  </si>
  <si>
    <t xml:space="preserve">Typical monthly/annual costs across every major line</t>
  </si>
  <si>
    <t xml:space="preserve">2. Health Insurance</t>
  </si>
  <si>
    <t xml:space="preserve">TRS, ACA, RAND cost-sharing, HSA limits, underinsurance</t>
  </si>
  <si>
    <t xml:space="preserve">3. Life &amp; Disability</t>
  </si>
  <si>
    <t xml:space="preserve">SGLI, term rates by age, disability probabilities &amp; cost</t>
  </si>
  <si>
    <t xml:space="preserve">4. Carrier Ratings</t>
  </si>
  <si>
    <t xml:space="preserve">AM Best scale, NAIC complaint index, J.D. Power method</t>
  </si>
  <si>
    <t xml:space="preserve">5. Retirement Accounts</t>
  </si>
  <si>
    <t xml:space="preserve">2026 limits + an employer-match calculator</t>
  </si>
  <si>
    <t xml:space="preserve">6. Compounding Calculator</t>
  </si>
  <si>
    <t xml:space="preserve">Future-value model showing the value of an early start</t>
  </si>
  <si>
    <t xml:space="preserve">7. Credit Cards</t>
  </si>
  <si>
    <t xml:space="preserve">Reward rates, fees, point values + effective-value calculator</t>
  </si>
  <si>
    <t xml:space="preserve">8. Loans &amp; Lending</t>
  </si>
  <si>
    <t xml:space="preserve">SCRA/MLA caps, VA funding-fee &amp; no-PMI savings calculators</t>
  </si>
  <si>
    <t xml:space="preserve">9. Benefits Comparison</t>
  </si>
  <si>
    <t xml:space="preserve">Pooled vs. individual coverage, with dollar differences</t>
  </si>
  <si>
    <t xml:space="preserve">10. Sources</t>
  </si>
  <si>
    <t xml:space="preserve">Full source list for every figure in the workbook</t>
  </si>
  <si>
    <t xml:space="preserve">Legend</t>
  </si>
  <si>
    <t xml:space="preserve">Blue text</t>
  </si>
  <si>
    <t xml:space="preserve">A source-cited figure or a value you may change (an input)</t>
  </si>
  <si>
    <t xml:space="preserve">Yellow fill</t>
  </si>
  <si>
    <t xml:space="preserve">An input cell intended for you to edit in a calculator</t>
  </si>
  <si>
    <t xml:space="preserve">Black text</t>
  </si>
  <si>
    <t xml:space="preserve">A formula — it recalculates when inputs change</t>
  </si>
  <si>
    <t xml:space="preserve">Green text</t>
  </si>
  <si>
    <t xml:space="preserve">A computed difference or headline result</t>
  </si>
  <si>
    <t xml:space="preserve">This workbook is educational and general. It does not constitute legal, tax, insurance, or investment advice, and it describes no individual's circumstances. Figures change over time; confirm current terms with the relevant provider or agency. See the Sources tab for citations.</t>
  </si>
  <si>
    <t xml:space="preserve">1. Insurance by Line — Typical Costs (U.S., 2024–2026)</t>
  </si>
  <si>
    <t xml:space="preserve">Monthly figures are source-cited inputs (blue); annual figures are formulas (= monthly × 12).</t>
  </si>
  <si>
    <t xml:space="preserve">A. Recurring premiums (representative ranges)</t>
  </si>
  <si>
    <t xml:space="preserve">Line of coverage</t>
  </si>
  <si>
    <t xml:space="preserve">Coverage note</t>
  </si>
  <si>
    <t xml:space="preserve">Low $/mo</t>
  </si>
  <si>
    <t xml:space="preserve">High $/mo</t>
  </si>
  <si>
    <t xml:space="preserve">Low $/yr</t>
  </si>
  <si>
    <t xml:space="preserve">High $/yr</t>
  </si>
  <si>
    <t xml:space="preserve">Source</t>
  </si>
  <si>
    <t xml:space="preserve">Health — TRICARE Reserve Select (self)</t>
  </si>
  <si>
    <t xml:space="preserve">Subsidized reserve-component plan</t>
  </si>
  <si>
    <t xml:space="preserve">DHA 2026 Costs &amp; Fees</t>
  </si>
  <si>
    <t xml:space="preserve">Health — TRICARE Reserve Select (family)</t>
  </si>
  <si>
    <t xml:space="preserve">Family tier, flat premium</t>
  </si>
  <si>
    <t xml:space="preserve">Renters insurance</t>
  </si>
  <si>
    <t xml:space="preserve">Personal property + liability</t>
  </si>
  <si>
    <t xml:space="preserve">III / NAIC</t>
  </si>
  <si>
    <t xml:space="preserve">Auto — full coverage (young driver)</t>
  </si>
  <si>
    <t xml:space="preserve">Representative; varies widely</t>
  </si>
  <si>
    <t xml:space="preserve">ValuePenguin / NAIC</t>
  </si>
  <si>
    <t xml:space="preserve">Life — SGLI $500,000</t>
  </si>
  <si>
    <t xml:space="preserve">Group term, flat rate, no underwriting</t>
  </si>
  <si>
    <t xml:space="preserve">VA 2025 (post-July rate)</t>
  </si>
  <si>
    <t xml:space="preserve">Life — private term $500k / 20-yr (age ~30)</t>
  </si>
  <si>
    <t xml:space="preserve">Healthy nonsmoker</t>
  </si>
  <si>
    <t xml:space="preserve">Consumer market 2026</t>
  </si>
  <si>
    <t xml:space="preserve">Disability — individual long-term (own-occ)</t>
  </si>
  <si>
    <t xml:space="preserve">≈1–3% of income; $5k/mo benefit</t>
  </si>
  <si>
    <t xml:space="preserve">CDA / industry</t>
  </si>
  <si>
    <t xml:space="preserve">Umbrella — $1,000,000 excess liability</t>
  </si>
  <si>
    <t xml:space="preserve">First $1M; +$75–100 per added $1M</t>
  </si>
  <si>
    <t xml:space="preserve">Industry (ACE/Chubb)</t>
  </si>
  <si>
    <t xml:space="preserve">Business — technology E&amp;O</t>
  </si>
  <si>
    <t xml:space="preserve">Professional liability, $1M limits</t>
  </si>
  <si>
    <t xml:space="preserve">Insureon / TechInsurance</t>
  </si>
  <si>
    <t xml:space="preserve">Business — general liability (tech)</t>
  </si>
  <si>
    <t xml:space="preserve">Third-party bodily injury/property</t>
  </si>
  <si>
    <t xml:space="preserve">TechInsurance</t>
  </si>
  <si>
    <t xml:space="preserve">Business — business owner's policy</t>
  </si>
  <si>
    <t xml:space="preserve">GL + property bundle</t>
  </si>
  <si>
    <t xml:space="preserve">Insureon</t>
  </si>
  <si>
    <t xml:space="preserve">Ranges are representative national figures for illustration, not quotes. Auto especially varies by driver, vehicle, and territory.</t>
  </si>
  <si>
    <t xml:space="preserve">B. Large annual / one-time costs</t>
  </si>
  <si>
    <t xml:space="preserve">Item</t>
  </si>
  <si>
    <t xml:space="preserve">Basis</t>
  </si>
  <si>
    <t xml:space="preserve">Annual $</t>
  </si>
  <si>
    <t xml:space="preserve">Monthly equiv.</t>
  </si>
  <si>
    <t xml:space="preserve">Health — ACA benchmark (net, post-2025 subsidy change)</t>
  </si>
  <si>
    <t xml:space="preserve">Avg. subsidized enrollee net premium</t>
  </si>
  <si>
    <t xml:space="preserve">Urban Inst. / Commonwealth 2025</t>
  </si>
  <si>
    <t xml:space="preserve">Long-term care — nursing home (private room)</t>
  </si>
  <si>
    <t xml:space="preserve">National median annual cost</t>
  </si>
  <si>
    <t xml:space="preserve">Genworth/CareScout 2024</t>
  </si>
  <si>
    <t xml:space="preserve">Long-term care — assisted living</t>
  </si>
  <si>
    <t xml:space="preserve">Long-term care — home health aide</t>
  </si>
  <si>
    <t xml:space="preserve">Data breach — global average total cost</t>
  </si>
  <si>
    <t xml:space="preserve">Per breach (all sizes)</t>
  </si>
  <si>
    <t xml:space="preserve">IBM/Ponemon 2024</t>
  </si>
  <si>
    <t xml:space="preserve">2. Health Insurance — Key Figures</t>
  </si>
  <si>
    <t xml:space="preserve">Premiums, cost-sharing evidence, account limits, and coverage-adequacy data.</t>
  </si>
  <si>
    <t xml:space="preserve">A. Representative premiums &amp; limits (2026)</t>
  </si>
  <si>
    <t xml:space="preserve">Value</t>
  </si>
  <si>
    <t xml:space="preserve">Unit</t>
  </si>
  <si>
    <t xml:space="preserve">TRICARE Reserve Select — member only</t>
  </si>
  <si>
    <t xml:space="preserve">$ / month</t>
  </si>
  <si>
    <t xml:space="preserve">DHA 2026</t>
  </si>
  <si>
    <t xml:space="preserve">TRICARE Reserve Select — member &amp; family</t>
  </si>
  <si>
    <t xml:space="preserve">TRICARE Retired Reserve — individual</t>
  </si>
  <si>
    <t xml:space="preserve">HSA contribution limit — self-only</t>
  </si>
  <si>
    <t xml:space="preserve">$ / year</t>
  </si>
  <si>
    <t xml:space="preserve">IRS 2026</t>
  </si>
  <si>
    <t xml:space="preserve">ACA avg. subsidized net premium (post-change)</t>
  </si>
  <si>
    <t xml:space="preserve">Urban/Commonwealth 2025</t>
  </si>
  <si>
    <t xml:space="preserve">Working-age adults underinsured</t>
  </si>
  <si>
    <t xml:space="preserve">share</t>
  </si>
  <si>
    <t xml:space="preserve">Commonwealth Fund 2024</t>
  </si>
  <si>
    <t xml:space="preserve">Working-age adults uninsured at survey</t>
  </si>
  <si>
    <t xml:space="preserve">Underinsured who hold employer coverage</t>
  </si>
  <si>
    <t xml:space="preserve">Projected rise in uninsured, 2026 (subsidy expiry)</t>
  </si>
  <si>
    <t xml:space="preserve">people</t>
  </si>
  <si>
    <t xml:space="preserve">CBO / CRS 2024–25</t>
  </si>
  <si>
    <t xml:space="preserve">B. RAND Health Insurance Experiment — cost-sharing evidence</t>
  </si>
  <si>
    <t xml:space="preserve">Finding</t>
  </si>
  <si>
    <t xml:space="preserve">Magnitude</t>
  </si>
  <si>
    <t xml:space="preserve">Interpretation</t>
  </si>
  <si>
    <t xml:space="preserve">Spending under 95% coinsurance vs. free care</t>
  </si>
  <si>
    <t xml:space="preserve">~25–30% lower</t>
  </si>
  <si>
    <t xml:space="preserve">Cost-sharing curbs utilization</t>
  </si>
  <si>
    <t xml:space="preserve">Per-capita spend, free plan vs. 95% plan</t>
  </si>
  <si>
    <t xml:space="preserve">~45% higher</t>
  </si>
  <si>
    <t xml:space="preserve">Free care raises spending sharply</t>
  </si>
  <si>
    <t xml:space="preserve">Effect on care by clinical value</t>
  </si>
  <si>
    <t xml:space="preserve">Appropriate &amp; inappropriate cut alike</t>
  </si>
  <si>
    <t xml:space="preserve">Consumers economize bluntly</t>
  </si>
  <si>
    <t xml:space="preserve">Average health effect of cost-sharing</t>
  </si>
  <si>
    <t xml:space="preserve">Minimal for average person</t>
  </si>
  <si>
    <t xml:space="preserve">But harmed low-income, sick</t>
  </si>
  <si>
    <t xml:space="preserve">Source: Manning et al. (1987); Brook et al. (1983); Newhouse &amp; the Insurance Experiment Group (1993).</t>
  </si>
  <si>
    <t xml:space="preserve">3. Life &amp; Disability — Rates and Risk</t>
  </si>
  <si>
    <t xml:space="preserve">Group vs. private life pricing, and the probability and cost of disability.</t>
  </si>
  <si>
    <t xml:space="preserve">A. Life insurance — representative monthly premiums</t>
  </si>
  <si>
    <t xml:space="preserve">Policy</t>
  </si>
  <si>
    <t xml:space="preserve">Profile</t>
  </si>
  <si>
    <t xml:space="preserve">$/mo</t>
  </si>
  <si>
    <t xml:space="preserve">$/yr</t>
  </si>
  <si>
    <t xml:space="preserve">SGLI $500,000 (group term)</t>
  </si>
  <si>
    <t xml:space="preserve">Any age/health, flat</t>
  </si>
  <si>
    <t xml:space="preserve">VA 2025</t>
  </si>
  <si>
    <t xml:space="preserve">Term $500k / 20-yr</t>
  </si>
  <si>
    <t xml:space="preserve">Healthy age 25</t>
  </si>
  <si>
    <t xml:space="preserve">MoneyGeek 2026</t>
  </si>
  <si>
    <t xml:space="preserve">Healthy age 30</t>
  </si>
  <si>
    <t xml:space="preserve">Policygenius 2026</t>
  </si>
  <si>
    <t xml:space="preserve">Term $1,000,000 / 20-yr</t>
  </si>
  <si>
    <t xml:space="preserve">Healthy male age 30</t>
  </si>
  <si>
    <t xml:space="preserve">Guardian 2026</t>
  </si>
  <si>
    <t xml:space="preserve">B. Disability risk &amp; cost</t>
  </si>
  <si>
    <t xml:space="preserve">Measure</t>
  </si>
  <si>
    <t xml:space="preserve">Chance of 90+ day disability before 65 (age 40)</t>
  </si>
  <si>
    <t xml:space="preserve">probability</t>
  </si>
  <si>
    <t xml:space="preserve">Society of Actuaries</t>
  </si>
  <si>
    <t xml:space="preserve">Workers disabled 5+ years before retirement</t>
  </si>
  <si>
    <t xml:space="preserve">≈ 1 in 7</t>
  </si>
  <si>
    <t xml:space="preserve">Individual LTD cost (share of income)</t>
  </si>
  <si>
    <t xml:space="preserve">of income (mid)</t>
  </si>
  <si>
    <t xml:space="preserve">Representative benefit modeled</t>
  </si>
  <si>
    <t xml:space="preserve">Illustrative</t>
  </si>
  <si>
    <t xml:space="preserve">4. Assessing Carrier Quality</t>
  </si>
  <si>
    <t xml:space="preserve">Three independent lenses — financial strength, complaints, and satisfaction — which can diverge.</t>
  </si>
  <si>
    <t xml:space="preserve">A. AM Best financial-strength scale</t>
  </si>
  <si>
    <t xml:space="preserve">Rating</t>
  </si>
  <si>
    <t xml:space="preserve">Descriptor</t>
  </si>
  <si>
    <t xml:space="preserve">Meaning</t>
  </si>
  <si>
    <t xml:space="preserve">A++ / A+</t>
  </si>
  <si>
    <t xml:space="preserve">Superior</t>
  </si>
  <si>
    <t xml:space="preserve">Strongest ability to meet obligations to policyholders</t>
  </si>
  <si>
    <t xml:space="preserve">A / A-</t>
  </si>
  <si>
    <t xml:space="preserve">Excellent</t>
  </si>
  <si>
    <t xml:space="preserve">Excellent ability to meet obligations</t>
  </si>
  <si>
    <t xml:space="preserve">B++ / B+</t>
  </si>
  <si>
    <t xml:space="preserve">Good</t>
  </si>
  <si>
    <t xml:space="preserve">Good ability to meet obligations</t>
  </si>
  <si>
    <t xml:space="preserve">B / B-</t>
  </si>
  <si>
    <t xml:space="preserve">Fair</t>
  </si>
  <si>
    <t xml:space="preserve">Fair ability; vulnerable to adverse conditions</t>
  </si>
  <si>
    <t xml:space="preserve">C++ and below</t>
  </si>
  <si>
    <t xml:space="preserve">Marginal to Weak</t>
  </si>
  <si>
    <t xml:space="preserve">Increasing vulnerability</t>
  </si>
  <si>
    <t xml:space="preserve">Source: A.M. Best rating methodology (2024).</t>
  </si>
  <si>
    <t xml:space="preserve">B. NAIC complaint index &amp; J.D. Power</t>
  </si>
  <si>
    <t xml:space="preserve">Concept</t>
  </si>
  <si>
    <t xml:space="preserve">Value / method</t>
  </si>
  <si>
    <t xml:space="preserve">How to read it</t>
  </si>
  <si>
    <t xml:space="preserve">NAIC complaint index — baseline</t>
  </si>
  <si>
    <t xml:space="preserve">1.00</t>
  </si>
  <si>
    <t xml:space="preserve">A company's share of complaints ÷ its share of premium; 1.00 is the median</t>
  </si>
  <si>
    <t xml:space="preserve">Index above baseline</t>
  </si>
  <si>
    <t xml:space="preserve">&gt; 1.00</t>
  </si>
  <si>
    <t xml:space="preserve">More complaints than the company's size would predict</t>
  </si>
  <si>
    <t xml:space="preserve">Index below baseline</t>
  </si>
  <si>
    <t xml:space="preserve">&lt; 1.00</t>
  </si>
  <si>
    <t xml:space="preserve">Fewer complaints than predicted</t>
  </si>
  <si>
    <t xml:space="preserve">J.D. Power studies</t>
  </si>
  <si>
    <t xml:space="preserve">Survey-based</t>
  </si>
  <si>
    <t xml:space="preserve">Policyholder-reported satisfaction with claims and service</t>
  </si>
  <si>
    <t xml:space="preserve">Key caution</t>
  </si>
  <si>
    <t xml:space="preserve">—</t>
  </si>
  <si>
    <t xml:space="preserve">A financially strong insurer can still post above-median complaints — consult all three</t>
  </si>
  <si>
    <t xml:space="preserve">Source: NAIC complaint-index methodology (2024); J.D. Power study methodology.</t>
  </si>
  <si>
    <t xml:space="preserve">5. Retirement Accounts — 2026 Limits &amp; Match Calculator</t>
  </si>
  <si>
    <t xml:space="preserve">Statutory limits (blue, IRS) and a live employer-match calculator.</t>
  </si>
  <si>
    <t xml:space="preserve">A. 2026 contribution limits</t>
  </si>
  <si>
    <t xml:space="preserve">Account</t>
  </si>
  <si>
    <t xml:space="preserve">2026 limit</t>
  </si>
  <si>
    <t xml:space="preserve">Note</t>
  </si>
  <si>
    <t xml:space="preserve">401(k)/403(b)/457/TSP elective deferral</t>
  </si>
  <si>
    <t xml:space="preserve">Shared across all such plans</t>
  </si>
  <si>
    <t xml:space="preserve">Combined employee + employer (§415(c))</t>
  </si>
  <si>
    <t xml:space="preserve">Total additions cap</t>
  </si>
  <si>
    <t xml:space="preserve">Age-50 catch-up</t>
  </si>
  <si>
    <t xml:space="preserve">Additional deferral</t>
  </si>
  <si>
    <t xml:space="preserve">Ages 60–63 super catch-up</t>
  </si>
  <si>
    <t xml:space="preserve">Enhanced band</t>
  </si>
  <si>
    <t xml:space="preserve">IRA (traditional or Roth)</t>
  </si>
  <si>
    <t xml:space="preserve">Roth phase-out at higher income</t>
  </si>
  <si>
    <t xml:space="preserve">SEP-IRA (employer)</t>
  </si>
  <si>
    <t xml:space="preserve">Up to 25% of compensation</t>
  </si>
  <si>
    <t xml:space="preserve">HSA (self-only)</t>
  </si>
  <si>
    <t xml:space="preserve">Requires a qualifying HDHP</t>
  </si>
  <si>
    <t xml:space="preserve">B. Employer-match calculator (edit the yellow cells)</t>
  </si>
  <si>
    <t xml:space="preserve">Annual salary ($)</t>
  </si>
  <si>
    <t xml:space="preserve">Your contribution rate</t>
  </si>
  <si>
    <t xml:space="preserve">Full-match threshold (of salary)</t>
  </si>
  <si>
    <t xml:space="preserve">Your annual contribution</t>
  </si>
  <si>
    <t xml:space="preserve">Employer match earned</t>
  </si>
  <si>
    <t xml:space="preserve">Match as % of salary</t>
  </si>
  <si>
    <t xml:space="preserve">The match is free money — a 100% instant return on matched dollars. Formula caps the match at the threshold. Illustrative salary; edit the yellow cells.</t>
  </si>
  <si>
    <t xml:space="preserve">6. The Value of an Early Start</t>
  </si>
  <si>
    <t xml:space="preserve">A future-value model for level annual contributions. Edit the yellow inputs.</t>
  </si>
  <si>
    <t xml:space="preserve">Inputs</t>
  </si>
  <si>
    <t xml:space="preserve">Annual contribution ($)</t>
  </si>
  <si>
    <t xml:space="preserve">Expected annual return</t>
  </si>
  <si>
    <t xml:space="preserve">Years invested</t>
  </si>
  <si>
    <t xml:space="preserve">Future value (end balance)</t>
  </si>
  <si>
    <t xml:space="preserve">Total contributed</t>
  </si>
  <si>
    <t xml:space="preserve">Growth (earnings)</t>
  </si>
  <si>
    <t xml:space="preserve">Start now vs. wait 10 years (same contribution &amp; return)</t>
  </si>
  <si>
    <t xml:space="preserve">Scenario</t>
  </si>
  <si>
    <t xml:space="preserve">Future value</t>
  </si>
  <si>
    <t xml:space="preserve">Start now</t>
  </si>
  <si>
    <t xml:space="preserve">Wait 10 years</t>
  </si>
  <si>
    <t xml:space="preserve">Cost of waiting</t>
  </si>
  <si>
    <t xml:space="preserve">Model: future value of an ordinary annuity, FV = C × [((1+r)^n − 1) / r]. Illustrative inputs; edit the yellow cells. Source: SEC Investor.gov on compounding.</t>
  </si>
  <si>
    <t xml:space="preserve">7. Credit Cards — Rewards, Fees &amp; Effective Value</t>
  </si>
  <si>
    <t xml:space="preserve">Reward economics and a calculator; plus distributional and military-protection facts.</t>
  </si>
  <si>
    <t xml:space="preserve">A. Reward-value calculator (edit annual spend)</t>
  </si>
  <si>
    <t xml:space="preserve">Annual card spend ($)</t>
  </si>
  <si>
    <t xml:space="preserve">Card type</t>
  </si>
  <si>
    <t xml:space="preserve">Base reward rate</t>
  </si>
  <si>
    <t xml:space="preserve">Value multiplier (1.0=cash)</t>
  </si>
  <si>
    <t xml:space="preserve">Effective value / yr</t>
  </si>
  <si>
    <t xml:space="preserve">Flat cash-back</t>
  </si>
  <si>
    <t xml:space="preserve">Simple 2% on everything</t>
  </si>
  <si>
    <t xml:space="preserve">Transferable points (travel)</t>
  </si>
  <si>
    <t xml:space="preserve">Value via transfer partners</t>
  </si>
  <si>
    <t xml:space="preserve">Category card (grocery/dining)</t>
  </si>
  <si>
    <t xml:space="preserve">High rate in bonus categories</t>
  </si>
  <si>
    <t xml:space="preserve">Premium travel (fee-waived, military)</t>
  </si>
  <si>
    <t xml:space="preserve">Fee → $0 under SCRA/MLA; credits extra</t>
  </si>
  <si>
    <t xml:space="preserve">Effective value = spend × base reward rate × value multiplier (1.0 = penny-per-point cash; 2.0 = points worth ~2¢ each via transfer). Illustrative; multipliers per The Points Guy. For anyone carrying a balance, interest dwarfs rewards.</t>
  </si>
  <si>
    <t xml:space="preserve">B. Distributional &amp; protection facts</t>
  </si>
  <si>
    <t xml:space="preserve">Fact</t>
  </si>
  <si>
    <t xml:space="preserve">Annual redistribution induced by card rewards</t>
  </si>
  <si>
    <t xml:space="preserve">Agarwal et al. 2023 (Fed)</t>
  </si>
  <si>
    <t xml:space="preserve">Annual interchange transfer (cash/debit → credit)</t>
  </si>
  <si>
    <t xml:space="preserve">NBER 2026</t>
  </si>
  <si>
    <t xml:space="preserve">U.S. credit-card interest paid, 2024</t>
  </si>
  <si>
    <t xml:space="preserve">SCRA interest-rate cap (pre-service debt)</t>
  </si>
  <si>
    <t xml:space="preserve">50 U.S.C. § 3937</t>
  </si>
  <si>
    <t xml:space="preserve">MLA military APR cap (credit during service)</t>
  </si>
  <si>
    <t xml:space="preserve">10 U.S.C. § 987</t>
  </si>
  <si>
    <t xml:space="preserve">8. Loans &amp; Lending — Facts &amp; Calculators</t>
  </si>
  <si>
    <t xml:space="preserve">Statutory caps, plus VA funding-fee and no-PMI savings calculators.</t>
  </si>
  <si>
    <t xml:space="preserve">A. Rate caps &amp; key figures</t>
  </si>
  <si>
    <t xml:space="preserve">SCRA interest cap on pre-service debt</t>
  </si>
  <si>
    <t xml:space="preserve">50 U.S.C. § 3937 (forgiven, not deferred)</t>
  </si>
  <si>
    <t xml:space="preserve">MLA military APR cap</t>
  </si>
  <si>
    <t xml:space="preserve">VA loan funding fee (first use, 0% down)</t>
  </si>
  <si>
    <t xml:space="preserve">VA 2024 (financeable; some exemptions)</t>
  </si>
  <si>
    <t xml:space="preserve">Typical PMI annual rate (conventional)</t>
  </si>
  <si>
    <t xml:space="preserve">Industry (0.3%–1.5% range)</t>
  </si>
  <si>
    <t xml:space="preserve">B. VA loan vs. conventional — cost calculator (edit yellow)</t>
  </si>
  <si>
    <t xml:space="preserve">Loan amount ($)</t>
  </si>
  <si>
    <t xml:space="preserve">VA funding fee rate</t>
  </si>
  <si>
    <t xml:space="preserve">Conventional PMI annual rate</t>
  </si>
  <si>
    <t xml:space="preserve">VA funding fee (one-time)</t>
  </si>
  <si>
    <t xml:space="preserve">Annual PMI avoided (VA has none)</t>
  </si>
  <si>
    <t xml:space="preserve">Monthly PMI avoided</t>
  </si>
  <si>
    <t xml:space="preserve">PMI avoided over 10 years</t>
  </si>
  <si>
    <t xml:space="preserve">Illustrative. The VA guaranty removes the down payment and PMI in exchange for a one-time funding fee (waived for certain disabled veterans). Edit the yellow cells.</t>
  </si>
  <si>
    <t xml:space="preserve">9. Pooled vs. Individual Coverage</t>
  </si>
  <si>
    <t xml:space="preserve">Where pooled or subsidized coverage is available, it tends to dominate on price. Differences are formulas.</t>
  </si>
  <si>
    <t xml:space="preserve">Comparison</t>
  </si>
  <si>
    <t xml:space="preserve">Pooled / subsidized ($/yr)</t>
  </si>
  <si>
    <t xml:space="preserve">Individual market ($/yr)</t>
  </si>
  <si>
    <t xml:space="preserve">Annual difference</t>
  </si>
  <si>
    <t xml:space="preserve">Health: TRS (self) vs. ACA net avg</t>
  </si>
  <si>
    <t xml:space="preserve">DHA / Urban 2025–26</t>
  </si>
  <si>
    <t xml:space="preserve">Life: SGLI $500k vs. term (age 30)</t>
  </si>
  <si>
    <t xml:space="preserve">VA / market 2026</t>
  </si>
  <si>
    <t xml:space="preserve">Retirement: value of a 5% match on a $60,000 salary</t>
  </si>
  <si>
    <t xml:space="preserve">per year, free (100% return on matched dollars)</t>
  </si>
  <si>
    <t xml:space="preserve">Positive difference = the individual-market option costs more than the pooled option. Health/life figures annualized from monthly premiums. See Sources tab.</t>
  </si>
  <si>
    <t xml:space="preserve">Citations for the figures in this workbook. Government, industry, and scholarly.</t>
  </si>
  <si>
    <t xml:space="preserve">#</t>
  </si>
  <si>
    <t xml:space="preserve">Used for</t>
  </si>
  <si>
    <t xml:space="preserve">Defense Health Agency (2025). TRICARE 2026 Costs and Fees.</t>
  </si>
  <si>
    <t xml:space="preserve">TRS/TRR premiums</t>
  </si>
  <si>
    <t xml:space="preserve">U.S. Dept. of Veterans Affairs (2025). SGLI/FSGLI/VGLI rates.</t>
  </si>
  <si>
    <t xml:space="preserve">SGLI premium</t>
  </si>
  <si>
    <t xml:space="preserve">Internal Revenue Service (2025). Notice 2025-67; IR-2025-111.</t>
  </si>
  <si>
    <t xml:space="preserve">2026 retirement &amp; HSA limits</t>
  </si>
  <si>
    <t xml:space="preserve">Commonwealth Fund (2024). Biennial Health Insurance Survey (Collins &amp; Gupta).</t>
  </si>
  <si>
    <t xml:space="preserve">Underinsurance shares</t>
  </si>
  <si>
    <t xml:space="preserve">Congressional Budget Office (2024); CRS R48290 (2025).</t>
  </si>
  <si>
    <t xml:space="preserve">Uninsured projections</t>
  </si>
  <si>
    <t xml:space="preserve">Urban Institute (2025); Commonwealth Fund (2025).</t>
  </si>
  <si>
    <t xml:space="preserve">ACA net premium change</t>
  </si>
  <si>
    <t xml:space="preserve">Manning et al. (1987); Brook et al. (1983); Newhouse (1993).</t>
  </si>
  <si>
    <t xml:space="preserve">RAND cost-sharing findings</t>
  </si>
  <si>
    <t xml:space="preserve">Society of Actuaries — disability experience studies.</t>
  </si>
  <si>
    <t xml:space="preserve">Disability probabilities</t>
  </si>
  <si>
    <t xml:space="preserve">Council for Disability Awareness; industry.</t>
  </si>
  <si>
    <t xml:space="preserve">Disability cost (% of income)</t>
  </si>
  <si>
    <t xml:space="preserve">Genworth/CareScout (2025). Cost of Care Survey 2024.</t>
  </si>
  <si>
    <t xml:space="preserve">Long-term-care costs</t>
  </si>
  <si>
    <t xml:space="preserve">IBM Security &amp; Ponemon Institute (2024). Cost of a Data Breach.</t>
  </si>
  <si>
    <t xml:space="preserve">Breach cost</t>
  </si>
  <si>
    <t xml:space="preserve">A.M. Best (2024). Rating methodology.</t>
  </si>
  <si>
    <t xml:space="preserve">Financial-strength scale</t>
  </si>
  <si>
    <t xml:space="preserve">National Association of Insurance Commissioners (2024).</t>
  </si>
  <si>
    <t xml:space="preserve">Complaint-index method</t>
  </si>
  <si>
    <t xml:space="preserve">Insurance Information Institute / NAIC.</t>
  </si>
  <si>
    <t xml:space="preserve">Renters premium</t>
  </si>
  <si>
    <t xml:space="preserve">ValuePenguin / NAIC; MoneyGeek; Policygenius; Guardian (2026).</t>
  </si>
  <si>
    <t xml:space="preserve">Auto &amp; term-life rates</t>
  </si>
  <si>
    <t xml:space="preserve">Insureon; TechInsurance.</t>
  </si>
  <si>
    <t xml:space="preserve">Business insurance costs</t>
  </si>
  <si>
    <t xml:space="preserve">Agarwal, Presbitero, Silva &amp; Wix (2023), Federal Reserve FEDS 2023-007.</t>
  </si>
  <si>
    <t xml:space="preserve">Reward redistribution</t>
  </si>
  <si>
    <t xml:space="preserve">National Bureau of Economic Research (2026).</t>
  </si>
  <si>
    <t xml:space="preserve">Interchange &amp; interest figures</t>
  </si>
  <si>
    <t xml:space="preserve">The Points Guy (2024). Monthly point valuations.</t>
  </si>
  <si>
    <t xml:space="preserve">Point values</t>
  </si>
  <si>
    <t xml:space="preserve">U.S. Dept. of Veterans Affairs (2024). VA home-loan funding fee.</t>
  </si>
  <si>
    <t xml:space="preserve">VA loan / PMI</t>
  </si>
  <si>
    <t xml:space="preserve">U.S. Securities and Exchange Commission (2024). Investor.gov.</t>
  </si>
  <si>
    <t xml:space="preserve">Compounding model</t>
  </si>
  <si>
    <t xml:space="preserve">Servicemembers Civil Relief Act, 50 U.S.C. § 3937; Military Lending Act, 10 U.S.C. § 987.</t>
  </si>
  <si>
    <t xml:space="preserve">Rate caps</t>
  </si>
  <si>
    <t xml:space="preserve">This workbook is for public education and general analysis; it is not advice and describes no individual. Confirm current figures with each source before relying on them.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</si>
</sst>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\$#,##0"/>
    <numFmt numFmtId="167" formatCode="0.0%"/>
    <numFmt numFmtId="168" formatCode="#,##0"/>
    <numFmt numFmtId="169" formatCode="0"/>
    <numFmt numFmtId="170" formatCode="General"/>
    <numFmt numFmtId="171" formatCode="0.0"/>
    <numFmt numFmtId="172" formatCode="0.0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A5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3"/>
      <color rgb="FF2E50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2"/>
      <color rgb="FF2E5077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1E7A3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b val="true"/>
      <sz val="11"/>
      <color rgb="FF2E5077"/>
      <name val="Arial"/>
      <family val="0"/>
      <charset val="1"/>
    </font>
    <font>
      <sz val="9"/>
      <color rgb="FF1A1A1A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666666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b val="true"/>
      <sz val="12"/>
      <color rgb="FF1E7A34"/>
      <name val="Arial"/>
      <family val="0"/>
      <charset val="1"/>
    </font>
    <font>
      <b val="true"/>
      <sz val="11"/>
      <color rgb="FF1E7A34"/>
      <name val="Arial"/>
      <family val="0"/>
      <charset val="1"/>
    </font>
    <font>
      <sz val="9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2E5077"/>
      </patternFill>
    </fill>
    <fill>
      <patternFill patternType="solid">
        <fgColor rgb="FFF4F6F9"/>
        <bgColor rgb="FFFFFFFF"/>
      </patternFill>
    </fill>
    <fill>
      <patternFill patternType="solid">
        <fgColor rgb="FFFFF3B0"/>
        <bgColor rgb="FFF4F6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4CFD9"/>
      </left>
      <right style="thin">
        <color rgb="FFC4CFD9"/>
      </right>
      <top style="thin">
        <color rgb="FFC4CFD9"/>
      </top>
      <bottom style="thin">
        <color rgb="FFC4CF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2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A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6F9"/>
      <rgbColor rgb="FFCCFFFF"/>
      <rgbColor rgb="FF660066"/>
      <rgbColor rgb="FFFF8080"/>
      <rgbColor rgb="FF0066CC"/>
      <rgbColor rgb="FFC4CF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2E5077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26"/>
    <col collapsed="false" customWidth="true" hidden="false" outlineLevel="0" max="5" min="5" style="0" width="20"/>
  </cols>
  <sheetData>
    <row r="2" customFormat="false" ht="25.5" hidden="false" customHeight="true" outlineLevel="0" collapsed="false">
      <c r="B2" s="1" t="s">
        <v>0</v>
      </c>
      <c r="C2" s="1"/>
      <c r="D2" s="1"/>
      <c r="E2" s="1"/>
    </row>
    <row r="3" customFormat="false" ht="15" hidden="false" customHeight="false" outlineLevel="0" collapsed="false">
      <c r="B3" s="2" t="s">
        <v>1</v>
      </c>
      <c r="C3" s="2"/>
      <c r="D3" s="2"/>
      <c r="E3" s="2"/>
    </row>
    <row r="4" customFormat="false" ht="15" hidden="false" customHeight="false" outlineLevel="0" collapsed="false">
      <c r="B4" s="3" t="s">
        <v>2</v>
      </c>
      <c r="C4" s="3"/>
      <c r="D4" s="3"/>
      <c r="E4" s="3"/>
    </row>
    <row r="6" customFormat="false" ht="16.15" hidden="false" customHeight="false" outlineLevel="0" collapsed="false">
      <c r="B6" s="4" t="s">
        <v>3</v>
      </c>
      <c r="C6" s="4"/>
      <c r="D6" s="4"/>
      <c r="E6" s="4"/>
    </row>
    <row r="7" customFormat="false" ht="30" hidden="false" customHeight="true" outlineLevel="0" collapsed="false">
      <c r="B7" s="5" t="s">
        <v>4</v>
      </c>
      <c r="C7" s="5" t="s">
        <v>5</v>
      </c>
    </row>
    <row r="8" customFormat="false" ht="15" hidden="false" customHeight="true" outlineLevel="0" collapsed="false">
      <c r="B8" s="6" t="s">
        <v>6</v>
      </c>
      <c r="C8" s="7" t="s">
        <v>7</v>
      </c>
      <c r="D8" s="7"/>
      <c r="E8" s="7"/>
    </row>
    <row r="9" customFormat="false" ht="15" hidden="false" customHeight="true" outlineLevel="0" collapsed="false">
      <c r="B9" s="8" t="s">
        <v>8</v>
      </c>
      <c r="C9" s="9" t="s">
        <v>9</v>
      </c>
      <c r="D9" s="9"/>
      <c r="E9" s="9"/>
    </row>
    <row r="10" customFormat="false" ht="15" hidden="false" customHeight="true" outlineLevel="0" collapsed="false">
      <c r="B10" s="6" t="s">
        <v>10</v>
      </c>
      <c r="C10" s="7" t="s">
        <v>11</v>
      </c>
      <c r="D10" s="7"/>
      <c r="E10" s="7"/>
    </row>
    <row r="11" customFormat="false" ht="15" hidden="false" customHeight="true" outlineLevel="0" collapsed="false">
      <c r="B11" s="8" t="s">
        <v>12</v>
      </c>
      <c r="C11" s="9" t="s">
        <v>13</v>
      </c>
      <c r="D11" s="9"/>
      <c r="E11" s="9"/>
    </row>
    <row r="12" customFormat="false" ht="15" hidden="false" customHeight="true" outlineLevel="0" collapsed="false">
      <c r="B12" s="6" t="s">
        <v>14</v>
      </c>
      <c r="C12" s="7" t="s">
        <v>15</v>
      </c>
      <c r="D12" s="7"/>
      <c r="E12" s="7"/>
    </row>
    <row r="13" customFormat="false" ht="15" hidden="false" customHeight="true" outlineLevel="0" collapsed="false">
      <c r="B13" s="8" t="s">
        <v>16</v>
      </c>
      <c r="C13" s="9" t="s">
        <v>17</v>
      </c>
      <c r="D13" s="9"/>
      <c r="E13" s="9"/>
    </row>
    <row r="14" customFormat="false" ht="15" hidden="false" customHeight="true" outlineLevel="0" collapsed="false">
      <c r="B14" s="6" t="s">
        <v>18</v>
      </c>
      <c r="C14" s="7" t="s">
        <v>19</v>
      </c>
      <c r="D14" s="7"/>
      <c r="E14" s="7"/>
    </row>
    <row r="15" customFormat="false" ht="15" hidden="false" customHeight="true" outlineLevel="0" collapsed="false">
      <c r="B15" s="8" t="s">
        <v>20</v>
      </c>
      <c r="C15" s="9" t="s">
        <v>21</v>
      </c>
      <c r="D15" s="9"/>
      <c r="E15" s="9"/>
    </row>
    <row r="16" customFormat="false" ht="15" hidden="false" customHeight="true" outlineLevel="0" collapsed="false">
      <c r="B16" s="6" t="s">
        <v>22</v>
      </c>
      <c r="C16" s="7" t="s">
        <v>23</v>
      </c>
      <c r="D16" s="7"/>
      <c r="E16" s="7"/>
    </row>
    <row r="17" customFormat="false" ht="15" hidden="false" customHeight="true" outlineLevel="0" collapsed="false">
      <c r="B17" s="8" t="s">
        <v>24</v>
      </c>
      <c r="C17" s="9" t="s">
        <v>25</v>
      </c>
      <c r="D17" s="9"/>
      <c r="E17" s="9"/>
    </row>
    <row r="19" customFormat="false" ht="15" hidden="false" customHeight="false" outlineLevel="0" collapsed="false">
      <c r="B19" s="10" t="s">
        <v>26</v>
      </c>
      <c r="C19" s="10"/>
      <c r="D19" s="10"/>
      <c r="E19" s="10"/>
    </row>
    <row r="20" customFormat="false" ht="15" hidden="false" customHeight="true" outlineLevel="0" collapsed="false">
      <c r="B20" s="11" t="s">
        <v>27</v>
      </c>
      <c r="C20" s="7" t="s">
        <v>28</v>
      </c>
      <c r="D20" s="7"/>
      <c r="E20" s="7"/>
    </row>
    <row r="21" customFormat="false" ht="15" hidden="false" customHeight="true" outlineLevel="0" collapsed="false">
      <c r="B21" s="12" t="s">
        <v>29</v>
      </c>
      <c r="C21" s="7" t="s">
        <v>30</v>
      </c>
      <c r="D21" s="7"/>
      <c r="E21" s="7"/>
    </row>
    <row r="22" customFormat="false" ht="15" hidden="false" customHeight="true" outlineLevel="0" collapsed="false">
      <c r="B22" s="6" t="s">
        <v>31</v>
      </c>
      <c r="C22" s="7" t="s">
        <v>32</v>
      </c>
      <c r="D22" s="7"/>
      <c r="E22" s="7"/>
    </row>
    <row r="23" customFormat="false" ht="15" hidden="false" customHeight="true" outlineLevel="0" collapsed="false">
      <c r="B23" s="13" t="s">
        <v>33</v>
      </c>
      <c r="C23" s="7" t="s">
        <v>34</v>
      </c>
      <c r="D23" s="7"/>
      <c r="E23" s="7"/>
    </row>
    <row r="25" customFormat="false" ht="15" hidden="false" customHeight="true" outlineLevel="0" collapsed="false">
      <c r="B25" s="14" t="s">
        <v>35</v>
      </c>
      <c r="C25" s="14"/>
      <c r="D25" s="14"/>
      <c r="E25" s="14"/>
    </row>
    <row r="26" customFormat="false" ht="15" hidden="false" customHeight="false" outlineLevel="0" collapsed="false">
      <c r="B26" s="14"/>
      <c r="C26" s="14"/>
      <c r="D26" s="14"/>
      <c r="E26" s="14"/>
    </row>
    <row r="27" customFormat="false" ht="15" hidden="false" customHeight="false" outlineLevel="0" collapsed="false">
      <c r="B27" s="14"/>
      <c r="C27" s="14"/>
      <c r="D27" s="14"/>
      <c r="E27" s="14"/>
    </row>
  </sheetData>
  <mergeCells count="20">
    <mergeCell ref="B2:E2"/>
    <mergeCell ref="B3:E3"/>
    <mergeCell ref="B4:E4"/>
    <mergeCell ref="B6:E6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B19:E19"/>
    <mergeCell ref="C20:E20"/>
    <mergeCell ref="C21:E21"/>
    <mergeCell ref="C22:E22"/>
    <mergeCell ref="C23:E23"/>
    <mergeCell ref="B25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4" min="3" style="0" width="14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15" t="s">
        <v>36</v>
      </c>
      <c r="B1" s="15"/>
      <c r="C1" s="15"/>
      <c r="D1" s="15"/>
      <c r="E1" s="15"/>
      <c r="F1" s="15"/>
      <c r="G1" s="15"/>
      <c r="H1" s="15"/>
      <c r="I1" s="15"/>
    </row>
    <row r="2" customFormat="false" ht="15" hidden="false" customHeight="true" outlineLevel="0" collapsed="false">
      <c r="A2" s="16" t="s">
        <v>37</v>
      </c>
      <c r="B2" s="16"/>
      <c r="C2" s="16"/>
      <c r="D2" s="16"/>
      <c r="E2" s="16"/>
      <c r="F2" s="16"/>
      <c r="G2" s="16"/>
      <c r="H2" s="16"/>
      <c r="I2" s="16"/>
    </row>
    <row r="4" customFormat="false" ht="15" hidden="false" customHeight="false" outlineLevel="0" collapsed="false">
      <c r="A4" s="17" t="s">
        <v>38</v>
      </c>
    </row>
    <row r="5" customFormat="false" ht="30" hidden="false" customHeight="true" outlineLevel="0" collapsed="false">
      <c r="A5" s="5" t="s">
        <v>39</v>
      </c>
      <c r="B5" s="5" t="s">
        <v>40</v>
      </c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</row>
    <row r="6" customFormat="false" ht="23.85" hidden="false" customHeight="false" outlineLevel="0" collapsed="false">
      <c r="A6" s="6" t="s">
        <v>46</v>
      </c>
      <c r="B6" s="18" t="s">
        <v>47</v>
      </c>
      <c r="C6" s="19" t="n">
        <v>57.88</v>
      </c>
      <c r="D6" s="19" t="n">
        <v>57.88</v>
      </c>
      <c r="E6" s="20" t="n">
        <f aca="false">C6*12</f>
        <v>694.56</v>
      </c>
      <c r="F6" s="20" t="n">
        <f aca="false">D6*12</f>
        <v>694.56</v>
      </c>
      <c r="G6" s="21" t="s">
        <v>48</v>
      </c>
    </row>
    <row r="7" customFormat="false" ht="23.85" hidden="false" customHeight="false" outlineLevel="0" collapsed="false">
      <c r="A7" s="8" t="s">
        <v>49</v>
      </c>
      <c r="B7" s="22" t="s">
        <v>50</v>
      </c>
      <c r="C7" s="23" t="n">
        <v>286.66</v>
      </c>
      <c r="D7" s="23" t="n">
        <v>286.66</v>
      </c>
      <c r="E7" s="24" t="n">
        <f aca="false">C7*12</f>
        <v>3439.92</v>
      </c>
      <c r="F7" s="24" t="n">
        <f aca="false">D7*12</f>
        <v>3439.92</v>
      </c>
      <c r="G7" s="25" t="s">
        <v>48</v>
      </c>
    </row>
    <row r="8" customFormat="false" ht="15" hidden="false" customHeight="false" outlineLevel="0" collapsed="false">
      <c r="A8" s="6" t="s">
        <v>51</v>
      </c>
      <c r="B8" s="18" t="s">
        <v>52</v>
      </c>
      <c r="C8" s="19" t="n">
        <v>15</v>
      </c>
      <c r="D8" s="19" t="n">
        <v>20</v>
      </c>
      <c r="E8" s="20" t="n">
        <f aca="false">C8*12</f>
        <v>180</v>
      </c>
      <c r="F8" s="20" t="n">
        <f aca="false">D8*12</f>
        <v>240</v>
      </c>
      <c r="G8" s="21" t="s">
        <v>53</v>
      </c>
    </row>
    <row r="9" customFormat="false" ht="23.85" hidden="false" customHeight="false" outlineLevel="0" collapsed="false">
      <c r="A9" s="8" t="s">
        <v>54</v>
      </c>
      <c r="B9" s="22" t="s">
        <v>55</v>
      </c>
      <c r="C9" s="23" t="n">
        <v>65</v>
      </c>
      <c r="D9" s="23" t="n">
        <v>116</v>
      </c>
      <c r="E9" s="24" t="n">
        <f aca="false">C9*12</f>
        <v>780</v>
      </c>
      <c r="F9" s="24" t="n">
        <f aca="false">D9*12</f>
        <v>1392</v>
      </c>
      <c r="G9" s="25" t="s">
        <v>56</v>
      </c>
    </row>
    <row r="10" customFormat="false" ht="15" hidden="false" customHeight="false" outlineLevel="0" collapsed="false">
      <c r="A10" s="6" t="s">
        <v>57</v>
      </c>
      <c r="B10" s="18" t="s">
        <v>58</v>
      </c>
      <c r="C10" s="19" t="n">
        <v>26</v>
      </c>
      <c r="D10" s="19" t="n">
        <v>26</v>
      </c>
      <c r="E10" s="20" t="n">
        <f aca="false">C10*12</f>
        <v>312</v>
      </c>
      <c r="F10" s="20" t="n">
        <f aca="false">D10*12</f>
        <v>312</v>
      </c>
      <c r="G10" s="21" t="s">
        <v>59</v>
      </c>
    </row>
    <row r="11" customFormat="false" ht="23.85" hidden="false" customHeight="false" outlineLevel="0" collapsed="false">
      <c r="A11" s="8" t="s">
        <v>60</v>
      </c>
      <c r="B11" s="22" t="s">
        <v>61</v>
      </c>
      <c r="C11" s="23" t="n">
        <v>30</v>
      </c>
      <c r="D11" s="23" t="n">
        <v>39</v>
      </c>
      <c r="E11" s="24" t="n">
        <f aca="false">C11*12</f>
        <v>360</v>
      </c>
      <c r="F11" s="24" t="n">
        <f aca="false">D11*12</f>
        <v>468</v>
      </c>
      <c r="G11" s="25" t="s">
        <v>62</v>
      </c>
    </row>
    <row r="12" customFormat="false" ht="23.85" hidden="false" customHeight="false" outlineLevel="0" collapsed="false">
      <c r="A12" s="6" t="s">
        <v>63</v>
      </c>
      <c r="B12" s="18" t="s">
        <v>64</v>
      </c>
      <c r="C12" s="19" t="n">
        <v>100</v>
      </c>
      <c r="D12" s="19" t="n">
        <v>150</v>
      </c>
      <c r="E12" s="20" t="n">
        <f aca="false">C12*12</f>
        <v>1200</v>
      </c>
      <c r="F12" s="20" t="n">
        <f aca="false">D12*12</f>
        <v>1800</v>
      </c>
      <c r="G12" s="21" t="s">
        <v>65</v>
      </c>
    </row>
    <row r="13" customFormat="false" ht="23.85" hidden="false" customHeight="false" outlineLevel="0" collapsed="false">
      <c r="A13" s="8" t="s">
        <v>66</v>
      </c>
      <c r="B13" s="22" t="s">
        <v>67</v>
      </c>
      <c r="C13" s="23" t="n">
        <v>30</v>
      </c>
      <c r="D13" s="23" t="n">
        <v>33</v>
      </c>
      <c r="E13" s="24" t="n">
        <f aca="false">C13*12</f>
        <v>360</v>
      </c>
      <c r="F13" s="24" t="n">
        <f aca="false">D13*12</f>
        <v>396</v>
      </c>
      <c r="G13" s="25" t="s">
        <v>68</v>
      </c>
    </row>
    <row r="14" customFormat="false" ht="15" hidden="false" customHeight="false" outlineLevel="0" collapsed="false">
      <c r="A14" s="6" t="s">
        <v>69</v>
      </c>
      <c r="B14" s="18" t="s">
        <v>70</v>
      </c>
      <c r="C14" s="19" t="n">
        <v>67</v>
      </c>
      <c r="D14" s="19" t="n">
        <v>110</v>
      </c>
      <c r="E14" s="20" t="n">
        <f aca="false">C14*12</f>
        <v>804</v>
      </c>
      <c r="F14" s="20" t="n">
        <f aca="false">D14*12</f>
        <v>1320</v>
      </c>
      <c r="G14" s="21" t="s">
        <v>71</v>
      </c>
    </row>
    <row r="15" customFormat="false" ht="23.85" hidden="false" customHeight="false" outlineLevel="0" collapsed="false">
      <c r="A15" s="8" t="s">
        <v>72</v>
      </c>
      <c r="B15" s="22" t="s">
        <v>73</v>
      </c>
      <c r="C15" s="23" t="n">
        <v>30</v>
      </c>
      <c r="D15" s="23" t="n">
        <v>30</v>
      </c>
      <c r="E15" s="24" t="n">
        <f aca="false">C15*12</f>
        <v>360</v>
      </c>
      <c r="F15" s="24" t="n">
        <f aca="false">D15*12</f>
        <v>360</v>
      </c>
      <c r="G15" s="25" t="s">
        <v>74</v>
      </c>
    </row>
    <row r="16" customFormat="false" ht="23.85" hidden="false" customHeight="false" outlineLevel="0" collapsed="false">
      <c r="A16" s="6" t="s">
        <v>75</v>
      </c>
      <c r="B16" s="18" t="s">
        <v>76</v>
      </c>
      <c r="C16" s="19" t="n">
        <v>46</v>
      </c>
      <c r="D16" s="19" t="n">
        <v>46</v>
      </c>
      <c r="E16" s="20" t="n">
        <f aca="false">C16*12</f>
        <v>552</v>
      </c>
      <c r="F16" s="20" t="n">
        <f aca="false">D16*12</f>
        <v>552</v>
      </c>
      <c r="G16" s="21" t="s">
        <v>77</v>
      </c>
    </row>
    <row r="17" customFormat="false" ht="15" hidden="false" customHeight="true" outlineLevel="0" collapsed="false">
      <c r="A17" s="26" t="s">
        <v>78</v>
      </c>
      <c r="B17" s="26"/>
      <c r="C17" s="26"/>
      <c r="D17" s="26"/>
      <c r="E17" s="26"/>
      <c r="F17" s="26"/>
      <c r="G17" s="26"/>
    </row>
    <row r="19" customFormat="false" ht="15" hidden="false" customHeight="false" outlineLevel="0" collapsed="false">
      <c r="A19" s="17" t="s">
        <v>79</v>
      </c>
    </row>
    <row r="20" customFormat="false" ht="30" hidden="false" customHeight="true" outlineLevel="0" collapsed="false">
      <c r="A20" s="5" t="s">
        <v>80</v>
      </c>
      <c r="B20" s="5" t="s">
        <v>81</v>
      </c>
      <c r="C20" s="5" t="s">
        <v>82</v>
      </c>
      <c r="D20" s="5" t="s">
        <v>83</v>
      </c>
      <c r="E20" s="5" t="s">
        <v>45</v>
      </c>
    </row>
    <row r="21" customFormat="false" ht="35.05" hidden="false" customHeight="false" outlineLevel="0" collapsed="false">
      <c r="A21" s="6" t="s">
        <v>84</v>
      </c>
      <c r="B21" s="18" t="s">
        <v>85</v>
      </c>
      <c r="C21" s="27" t="n">
        <v>1904</v>
      </c>
      <c r="D21" s="20" t="n">
        <f aca="false">C21/12</f>
        <v>158.666666666667</v>
      </c>
      <c r="E21" s="21" t="s">
        <v>86</v>
      </c>
    </row>
    <row r="22" customFormat="false" ht="23.85" hidden="false" customHeight="false" outlineLevel="0" collapsed="false">
      <c r="A22" s="8" t="s">
        <v>87</v>
      </c>
      <c r="B22" s="22" t="s">
        <v>88</v>
      </c>
      <c r="C22" s="28" t="n">
        <v>127750</v>
      </c>
      <c r="D22" s="24" t="n">
        <f aca="false">C22/12</f>
        <v>10645.8333333333</v>
      </c>
      <c r="E22" s="25" t="s">
        <v>89</v>
      </c>
    </row>
    <row r="23" customFormat="false" ht="23.85" hidden="false" customHeight="false" outlineLevel="0" collapsed="false">
      <c r="A23" s="6" t="s">
        <v>90</v>
      </c>
      <c r="B23" s="18" t="s">
        <v>88</v>
      </c>
      <c r="C23" s="27" t="n">
        <v>70800</v>
      </c>
      <c r="D23" s="20" t="n">
        <f aca="false">C23/12</f>
        <v>5900</v>
      </c>
      <c r="E23" s="21" t="s">
        <v>89</v>
      </c>
    </row>
    <row r="24" customFormat="false" ht="23.85" hidden="false" customHeight="false" outlineLevel="0" collapsed="false">
      <c r="A24" s="8" t="s">
        <v>91</v>
      </c>
      <c r="B24" s="22" t="s">
        <v>88</v>
      </c>
      <c r="C24" s="28" t="n">
        <v>77792</v>
      </c>
      <c r="D24" s="24" t="n">
        <f aca="false">C24/12</f>
        <v>6482.66666666667</v>
      </c>
      <c r="E24" s="25" t="s">
        <v>89</v>
      </c>
    </row>
    <row r="25" customFormat="false" ht="23.85" hidden="false" customHeight="false" outlineLevel="0" collapsed="false">
      <c r="A25" s="6" t="s">
        <v>92</v>
      </c>
      <c r="B25" s="18" t="s">
        <v>93</v>
      </c>
      <c r="C25" s="27" t="n">
        <v>4880000</v>
      </c>
      <c r="D25" s="20" t="n">
        <f aca="false">C25/12</f>
        <v>406666.666666667</v>
      </c>
      <c r="E25" s="21" t="s">
        <v>94</v>
      </c>
    </row>
  </sheetData>
  <mergeCells count="3">
    <mergeCell ref="A1:I1"/>
    <mergeCell ref="A2:I2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36"/>
    <col collapsed="false" customWidth="true" hidden="false" outlineLevel="0" max="4" min="4" style="0" width="30"/>
  </cols>
  <sheetData>
    <row r="1" customFormat="false" ht="25.5" hidden="false" customHeight="true" outlineLevel="0" collapsed="false">
      <c r="A1" s="15" t="s">
        <v>95</v>
      </c>
      <c r="B1" s="15"/>
      <c r="C1" s="15"/>
      <c r="D1" s="15"/>
      <c r="E1" s="15"/>
      <c r="F1" s="15"/>
      <c r="G1" s="15"/>
      <c r="H1" s="15"/>
      <c r="I1" s="15"/>
    </row>
    <row r="2" customFormat="false" ht="15" hidden="false" customHeight="true" outlineLevel="0" collapsed="false">
      <c r="A2" s="16" t="s">
        <v>96</v>
      </c>
      <c r="B2" s="16"/>
      <c r="C2" s="16"/>
      <c r="D2" s="16"/>
      <c r="E2" s="16"/>
      <c r="F2" s="16"/>
      <c r="G2" s="16"/>
      <c r="H2" s="16"/>
      <c r="I2" s="16"/>
    </row>
    <row r="4" customFormat="false" ht="15" hidden="false" customHeight="false" outlineLevel="0" collapsed="false">
      <c r="A4" s="17" t="s">
        <v>97</v>
      </c>
    </row>
    <row r="5" customFormat="false" ht="30" hidden="false" customHeight="true" outlineLevel="0" collapsed="false">
      <c r="A5" s="5" t="s">
        <v>80</v>
      </c>
      <c r="B5" s="5" t="s">
        <v>98</v>
      </c>
      <c r="C5" s="5" t="s">
        <v>99</v>
      </c>
      <c r="D5" s="5" t="s">
        <v>45</v>
      </c>
    </row>
    <row r="6" customFormat="false" ht="23.85" hidden="false" customHeight="false" outlineLevel="0" collapsed="false">
      <c r="A6" s="6" t="s">
        <v>100</v>
      </c>
      <c r="B6" s="19" t="n">
        <v>57.88</v>
      </c>
      <c r="C6" s="18" t="s">
        <v>101</v>
      </c>
      <c r="D6" s="21" t="s">
        <v>102</v>
      </c>
    </row>
    <row r="7" customFormat="false" ht="23.85" hidden="false" customHeight="false" outlineLevel="0" collapsed="false">
      <c r="A7" s="8" t="s">
        <v>103</v>
      </c>
      <c r="B7" s="23" t="n">
        <v>286.66</v>
      </c>
      <c r="C7" s="22" t="s">
        <v>101</v>
      </c>
      <c r="D7" s="25" t="s">
        <v>102</v>
      </c>
    </row>
    <row r="8" customFormat="false" ht="23.85" hidden="false" customHeight="false" outlineLevel="0" collapsed="false">
      <c r="A8" s="6" t="s">
        <v>104</v>
      </c>
      <c r="B8" s="19" t="n">
        <v>645.9</v>
      </c>
      <c r="C8" s="18" t="s">
        <v>101</v>
      </c>
      <c r="D8" s="21" t="s">
        <v>102</v>
      </c>
    </row>
    <row r="9" customFormat="false" ht="15" hidden="false" customHeight="false" outlineLevel="0" collapsed="false">
      <c r="A9" s="8" t="s">
        <v>105</v>
      </c>
      <c r="B9" s="28" t="n">
        <v>4300</v>
      </c>
      <c r="C9" s="22" t="s">
        <v>106</v>
      </c>
      <c r="D9" s="25" t="s">
        <v>107</v>
      </c>
    </row>
    <row r="10" customFormat="false" ht="23.85" hidden="false" customHeight="false" outlineLevel="0" collapsed="false">
      <c r="A10" s="6" t="s">
        <v>108</v>
      </c>
      <c r="B10" s="27" t="n">
        <v>1904</v>
      </c>
      <c r="C10" s="18" t="s">
        <v>106</v>
      </c>
      <c r="D10" s="21" t="s">
        <v>109</v>
      </c>
    </row>
    <row r="11" customFormat="false" ht="15" hidden="false" customHeight="false" outlineLevel="0" collapsed="false">
      <c r="A11" s="8" t="s">
        <v>110</v>
      </c>
      <c r="B11" s="29" t="n">
        <v>0.23</v>
      </c>
      <c r="C11" s="22" t="s">
        <v>111</v>
      </c>
      <c r="D11" s="25" t="s">
        <v>112</v>
      </c>
    </row>
    <row r="12" customFormat="false" ht="23.85" hidden="false" customHeight="false" outlineLevel="0" collapsed="false">
      <c r="A12" s="6" t="s">
        <v>113</v>
      </c>
      <c r="B12" s="30" t="n">
        <v>0.09</v>
      </c>
      <c r="C12" s="18" t="s">
        <v>111</v>
      </c>
      <c r="D12" s="21" t="s">
        <v>112</v>
      </c>
    </row>
    <row r="13" customFormat="false" ht="23.85" hidden="false" customHeight="false" outlineLevel="0" collapsed="false">
      <c r="A13" s="8" t="s">
        <v>114</v>
      </c>
      <c r="B13" s="29" t="n">
        <v>0.66</v>
      </c>
      <c r="C13" s="22" t="s">
        <v>111</v>
      </c>
      <c r="D13" s="25" t="s">
        <v>112</v>
      </c>
    </row>
    <row r="14" customFormat="false" ht="23.85" hidden="false" customHeight="false" outlineLevel="0" collapsed="false">
      <c r="A14" s="6" t="s">
        <v>115</v>
      </c>
      <c r="B14" s="31" t="n">
        <v>3800000</v>
      </c>
      <c r="C14" s="18" t="s">
        <v>116</v>
      </c>
      <c r="D14" s="21" t="s">
        <v>117</v>
      </c>
    </row>
    <row r="16" customFormat="false" ht="15" hidden="false" customHeight="false" outlineLevel="0" collapsed="false">
      <c r="A16" s="17" t="s">
        <v>118</v>
      </c>
    </row>
    <row r="17" customFormat="false" ht="30" hidden="false" customHeight="true" outlineLevel="0" collapsed="false">
      <c r="A17" s="5" t="s">
        <v>119</v>
      </c>
      <c r="B17" s="5" t="s">
        <v>120</v>
      </c>
      <c r="C17" s="5" t="s">
        <v>121</v>
      </c>
    </row>
    <row r="18" customFormat="false" ht="23.85" hidden="false" customHeight="false" outlineLevel="0" collapsed="false">
      <c r="A18" s="6" t="s">
        <v>122</v>
      </c>
      <c r="B18" s="32" t="s">
        <v>123</v>
      </c>
      <c r="C18" s="7" t="s">
        <v>124</v>
      </c>
    </row>
    <row r="19" customFormat="false" ht="23.85" hidden="false" customHeight="false" outlineLevel="0" collapsed="false">
      <c r="A19" s="8" t="s">
        <v>125</v>
      </c>
      <c r="B19" s="33" t="s">
        <v>126</v>
      </c>
      <c r="C19" s="9" t="s">
        <v>127</v>
      </c>
    </row>
    <row r="20" customFormat="false" ht="35.05" hidden="false" customHeight="false" outlineLevel="0" collapsed="false">
      <c r="A20" s="6" t="s">
        <v>128</v>
      </c>
      <c r="B20" s="32" t="s">
        <v>129</v>
      </c>
      <c r="C20" s="7" t="s">
        <v>130</v>
      </c>
    </row>
    <row r="21" customFormat="false" ht="23.85" hidden="false" customHeight="false" outlineLevel="0" collapsed="false">
      <c r="A21" s="8" t="s">
        <v>131</v>
      </c>
      <c r="B21" s="33" t="s">
        <v>132</v>
      </c>
      <c r="C21" s="9" t="s">
        <v>133</v>
      </c>
    </row>
    <row r="22" customFormat="false" ht="15" hidden="false" customHeight="true" outlineLevel="0" collapsed="false">
      <c r="A22" s="26" t="s">
        <v>134</v>
      </c>
      <c r="B22" s="26"/>
      <c r="C22" s="26"/>
    </row>
  </sheetData>
  <mergeCells count="3">
    <mergeCell ref="A1:I1"/>
    <mergeCell ref="A2:I2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5" min="4" style="0" width="26"/>
  </cols>
  <sheetData>
    <row r="1" customFormat="false" ht="25.5" hidden="false" customHeight="true" outlineLevel="0" collapsed="false">
      <c r="A1" s="15" t="s">
        <v>135</v>
      </c>
      <c r="B1" s="15"/>
      <c r="C1" s="15"/>
      <c r="D1" s="15"/>
      <c r="E1" s="15"/>
      <c r="F1" s="15"/>
      <c r="G1" s="15"/>
      <c r="H1" s="15"/>
      <c r="I1" s="15"/>
    </row>
    <row r="2" customFormat="false" ht="15" hidden="false" customHeight="true" outlineLevel="0" collapsed="false">
      <c r="A2" s="16" t="s">
        <v>136</v>
      </c>
      <c r="B2" s="16"/>
      <c r="C2" s="16"/>
      <c r="D2" s="16"/>
      <c r="E2" s="16"/>
      <c r="F2" s="16"/>
      <c r="G2" s="16"/>
      <c r="H2" s="16"/>
      <c r="I2" s="16"/>
    </row>
    <row r="4" customFormat="false" ht="15" hidden="false" customHeight="false" outlineLevel="0" collapsed="false">
      <c r="A4" s="17" t="s">
        <v>137</v>
      </c>
    </row>
    <row r="5" customFormat="false" ht="30" hidden="false" customHeight="true" outlineLevel="0" collapsed="false">
      <c r="A5" s="5" t="s">
        <v>138</v>
      </c>
      <c r="B5" s="5" t="s">
        <v>139</v>
      </c>
      <c r="C5" s="5" t="s">
        <v>140</v>
      </c>
      <c r="D5" s="5" t="s">
        <v>141</v>
      </c>
      <c r="E5" s="5" t="s">
        <v>45</v>
      </c>
    </row>
    <row r="6" customFormat="false" ht="22.35" hidden="false" customHeight="false" outlineLevel="0" collapsed="false">
      <c r="A6" s="6" t="s">
        <v>142</v>
      </c>
      <c r="B6" s="18" t="s">
        <v>143</v>
      </c>
      <c r="C6" s="19" t="n">
        <v>26</v>
      </c>
      <c r="D6" s="20" t="n">
        <f aca="false">C6*12</f>
        <v>312</v>
      </c>
      <c r="E6" s="21" t="s">
        <v>144</v>
      </c>
    </row>
    <row r="7" customFormat="false" ht="15" hidden="false" customHeight="false" outlineLevel="0" collapsed="false">
      <c r="A7" s="8" t="s">
        <v>145</v>
      </c>
      <c r="B7" s="22" t="s">
        <v>146</v>
      </c>
      <c r="C7" s="23" t="n">
        <v>39</v>
      </c>
      <c r="D7" s="24" t="n">
        <f aca="false">C7*12</f>
        <v>468</v>
      </c>
      <c r="E7" s="25" t="s">
        <v>147</v>
      </c>
    </row>
    <row r="8" customFormat="false" ht="15" hidden="false" customHeight="false" outlineLevel="0" collapsed="false">
      <c r="A8" s="6" t="s">
        <v>145</v>
      </c>
      <c r="B8" s="18" t="s">
        <v>148</v>
      </c>
      <c r="C8" s="19" t="n">
        <v>30</v>
      </c>
      <c r="D8" s="20" t="n">
        <f aca="false">C8*12</f>
        <v>360</v>
      </c>
      <c r="E8" s="21" t="s">
        <v>149</v>
      </c>
    </row>
    <row r="9" customFormat="false" ht="22.35" hidden="false" customHeight="false" outlineLevel="0" collapsed="false">
      <c r="A9" s="8" t="s">
        <v>150</v>
      </c>
      <c r="B9" s="22" t="s">
        <v>151</v>
      </c>
      <c r="C9" s="23" t="n">
        <v>53</v>
      </c>
      <c r="D9" s="24" t="n">
        <f aca="false">C9*12</f>
        <v>636</v>
      </c>
      <c r="E9" s="25" t="s">
        <v>152</v>
      </c>
    </row>
    <row r="11" customFormat="false" ht="15" hidden="false" customHeight="false" outlineLevel="0" collapsed="false">
      <c r="A11" s="17" t="s">
        <v>153</v>
      </c>
    </row>
    <row r="12" customFormat="false" ht="30" hidden="false" customHeight="true" outlineLevel="0" collapsed="false">
      <c r="A12" s="5" t="s">
        <v>154</v>
      </c>
      <c r="B12" s="5" t="s">
        <v>98</v>
      </c>
      <c r="C12" s="5" t="s">
        <v>99</v>
      </c>
      <c r="D12" s="5" t="s">
        <v>45</v>
      </c>
    </row>
    <row r="13" customFormat="false" ht="23.85" hidden="false" customHeight="false" outlineLevel="0" collapsed="false">
      <c r="A13" s="6" t="s">
        <v>155</v>
      </c>
      <c r="B13" s="30" t="n">
        <v>0.2</v>
      </c>
      <c r="C13" s="18" t="s">
        <v>156</v>
      </c>
      <c r="D13" s="21" t="s">
        <v>157</v>
      </c>
    </row>
    <row r="14" customFormat="false" ht="15" hidden="false" customHeight="false" outlineLevel="0" collapsed="false">
      <c r="A14" s="8" t="s">
        <v>158</v>
      </c>
      <c r="B14" s="29" t="n">
        <v>0.1428</v>
      </c>
      <c r="C14" s="22" t="s">
        <v>159</v>
      </c>
      <c r="D14" s="25" t="s">
        <v>157</v>
      </c>
    </row>
    <row r="15" customFormat="false" ht="15" hidden="false" customHeight="false" outlineLevel="0" collapsed="false">
      <c r="A15" s="6" t="s">
        <v>160</v>
      </c>
      <c r="B15" s="30" t="n">
        <v>0.02</v>
      </c>
      <c r="C15" s="18" t="s">
        <v>161</v>
      </c>
      <c r="D15" s="21" t="s">
        <v>65</v>
      </c>
    </row>
    <row r="16" customFormat="false" ht="15" hidden="false" customHeight="false" outlineLevel="0" collapsed="false">
      <c r="A16" s="8" t="s">
        <v>162</v>
      </c>
      <c r="B16" s="28" t="n">
        <v>5000</v>
      </c>
      <c r="C16" s="22" t="s">
        <v>101</v>
      </c>
      <c r="D16" s="25" t="s">
        <v>163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42"/>
  </cols>
  <sheetData>
    <row r="1" customFormat="false" ht="25.5" hidden="false" customHeight="true" outlineLevel="0" collapsed="false">
      <c r="A1" s="15" t="s">
        <v>164</v>
      </c>
      <c r="B1" s="15"/>
      <c r="C1" s="15"/>
      <c r="D1" s="15"/>
      <c r="E1" s="15"/>
      <c r="F1" s="15"/>
      <c r="G1" s="15"/>
      <c r="H1" s="15"/>
      <c r="I1" s="15"/>
    </row>
    <row r="2" customFormat="false" ht="15" hidden="false" customHeight="true" outlineLevel="0" collapsed="false">
      <c r="A2" s="16" t="s">
        <v>165</v>
      </c>
      <c r="B2" s="16"/>
      <c r="C2" s="16"/>
      <c r="D2" s="16"/>
      <c r="E2" s="16"/>
      <c r="F2" s="16"/>
      <c r="G2" s="16"/>
      <c r="H2" s="16"/>
      <c r="I2" s="16"/>
    </row>
    <row r="4" customFormat="false" ht="15" hidden="false" customHeight="false" outlineLevel="0" collapsed="false">
      <c r="A4" s="17" t="s">
        <v>166</v>
      </c>
    </row>
    <row r="5" customFormat="false" ht="30" hidden="false" customHeight="true" outlineLevel="0" collapsed="false">
      <c r="A5" s="5" t="s">
        <v>167</v>
      </c>
      <c r="B5" s="5" t="s">
        <v>168</v>
      </c>
      <c r="C5" s="5" t="s">
        <v>169</v>
      </c>
    </row>
    <row r="6" customFormat="false" ht="23.85" hidden="false" customHeight="false" outlineLevel="0" collapsed="false">
      <c r="A6" s="34" t="s">
        <v>170</v>
      </c>
      <c r="B6" s="32" t="s">
        <v>171</v>
      </c>
      <c r="C6" s="7" t="s">
        <v>172</v>
      </c>
    </row>
    <row r="7" customFormat="false" ht="15" hidden="false" customHeight="false" outlineLevel="0" collapsed="false">
      <c r="A7" s="35" t="s">
        <v>173</v>
      </c>
      <c r="B7" s="33" t="s">
        <v>174</v>
      </c>
      <c r="C7" s="9" t="s">
        <v>175</v>
      </c>
    </row>
    <row r="8" customFormat="false" ht="15" hidden="false" customHeight="false" outlineLevel="0" collapsed="false">
      <c r="A8" s="34" t="s">
        <v>176</v>
      </c>
      <c r="B8" s="32" t="s">
        <v>177</v>
      </c>
      <c r="C8" s="7" t="s">
        <v>178</v>
      </c>
    </row>
    <row r="9" customFormat="false" ht="15" hidden="false" customHeight="false" outlineLevel="0" collapsed="false">
      <c r="A9" s="35" t="s">
        <v>179</v>
      </c>
      <c r="B9" s="33" t="s">
        <v>180</v>
      </c>
      <c r="C9" s="9" t="s">
        <v>181</v>
      </c>
    </row>
    <row r="10" customFormat="false" ht="15" hidden="false" customHeight="false" outlineLevel="0" collapsed="false">
      <c r="A10" s="34" t="s">
        <v>182</v>
      </c>
      <c r="B10" s="32" t="s">
        <v>183</v>
      </c>
      <c r="C10" s="7" t="s">
        <v>184</v>
      </c>
    </row>
    <row r="11" customFormat="false" ht="15" hidden="false" customHeight="true" outlineLevel="0" collapsed="false">
      <c r="A11" s="26" t="s">
        <v>185</v>
      </c>
      <c r="B11" s="26"/>
      <c r="C11" s="26"/>
    </row>
    <row r="13" customFormat="false" ht="15" hidden="false" customHeight="false" outlineLevel="0" collapsed="false">
      <c r="A13" s="17" t="s">
        <v>186</v>
      </c>
    </row>
    <row r="14" customFormat="false" ht="30" hidden="false" customHeight="true" outlineLevel="0" collapsed="false">
      <c r="A14" s="5" t="s">
        <v>187</v>
      </c>
      <c r="B14" s="5" t="s">
        <v>188</v>
      </c>
      <c r="C14" s="5" t="s">
        <v>189</v>
      </c>
    </row>
    <row r="15" customFormat="false" ht="23.85" hidden="false" customHeight="false" outlineLevel="0" collapsed="false">
      <c r="A15" s="6" t="s">
        <v>190</v>
      </c>
      <c r="B15" s="36" t="s">
        <v>191</v>
      </c>
      <c r="C15" s="7" t="s">
        <v>192</v>
      </c>
    </row>
    <row r="16" customFormat="false" ht="23.85" hidden="false" customHeight="false" outlineLevel="0" collapsed="false">
      <c r="A16" s="8" t="s">
        <v>193</v>
      </c>
      <c r="B16" s="37" t="s">
        <v>194</v>
      </c>
      <c r="C16" s="9" t="s">
        <v>195</v>
      </c>
    </row>
    <row r="17" customFormat="false" ht="15" hidden="false" customHeight="false" outlineLevel="0" collapsed="false">
      <c r="A17" s="6" t="s">
        <v>196</v>
      </c>
      <c r="B17" s="36" t="s">
        <v>197</v>
      </c>
      <c r="C17" s="7" t="s">
        <v>198</v>
      </c>
    </row>
    <row r="18" customFormat="false" ht="23.85" hidden="false" customHeight="false" outlineLevel="0" collapsed="false">
      <c r="A18" s="8" t="s">
        <v>199</v>
      </c>
      <c r="B18" s="37" t="s">
        <v>200</v>
      </c>
      <c r="C18" s="9" t="s">
        <v>201</v>
      </c>
    </row>
    <row r="19" customFormat="false" ht="23.85" hidden="false" customHeight="false" outlineLevel="0" collapsed="false">
      <c r="A19" s="6" t="s">
        <v>202</v>
      </c>
      <c r="B19" s="36" t="s">
        <v>203</v>
      </c>
      <c r="C19" s="7" t="s">
        <v>204</v>
      </c>
    </row>
    <row r="20" customFormat="false" ht="15" hidden="false" customHeight="true" outlineLevel="0" collapsed="false">
      <c r="A20" s="26" t="s">
        <v>205</v>
      </c>
      <c r="B20" s="26"/>
      <c r="C20" s="26"/>
    </row>
  </sheetData>
  <mergeCells count="4">
    <mergeCell ref="A1:I1"/>
    <mergeCell ref="A2:I2"/>
    <mergeCell ref="A11:C11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20"/>
  </cols>
  <sheetData>
    <row r="1" customFormat="false" ht="25.5" hidden="false" customHeight="true" outlineLevel="0" collapsed="false">
      <c r="A1" s="15" t="s">
        <v>206</v>
      </c>
      <c r="B1" s="15"/>
      <c r="C1" s="15"/>
      <c r="D1" s="15"/>
      <c r="E1" s="15"/>
      <c r="F1" s="15"/>
      <c r="G1" s="15"/>
      <c r="H1" s="15"/>
      <c r="I1" s="15"/>
    </row>
    <row r="2" customFormat="false" ht="15" hidden="false" customHeight="true" outlineLevel="0" collapsed="false">
      <c r="A2" s="16" t="s">
        <v>207</v>
      </c>
      <c r="B2" s="16"/>
      <c r="C2" s="16"/>
      <c r="D2" s="16"/>
      <c r="E2" s="16"/>
      <c r="F2" s="16"/>
      <c r="G2" s="16"/>
      <c r="H2" s="16"/>
      <c r="I2" s="16"/>
    </row>
    <row r="4" customFormat="false" ht="15" hidden="false" customHeight="false" outlineLevel="0" collapsed="false">
      <c r="A4" s="17" t="s">
        <v>208</v>
      </c>
    </row>
    <row r="5" customFormat="false" ht="30" hidden="false" customHeight="true" outlineLevel="0" collapsed="false">
      <c r="A5" s="5" t="s">
        <v>209</v>
      </c>
      <c r="B5" s="5" t="s">
        <v>210</v>
      </c>
      <c r="C5" s="5" t="s">
        <v>211</v>
      </c>
      <c r="D5" s="5" t="s">
        <v>45</v>
      </c>
    </row>
    <row r="6" customFormat="false" ht="15" hidden="false" customHeight="false" outlineLevel="0" collapsed="false">
      <c r="A6" s="6" t="s">
        <v>212</v>
      </c>
      <c r="B6" s="27" t="n">
        <v>24500</v>
      </c>
      <c r="C6" s="18" t="s">
        <v>213</v>
      </c>
      <c r="D6" s="21" t="s">
        <v>107</v>
      </c>
    </row>
    <row r="7" customFormat="false" ht="15" hidden="false" customHeight="false" outlineLevel="0" collapsed="false">
      <c r="A7" s="8" t="s">
        <v>214</v>
      </c>
      <c r="B7" s="28" t="n">
        <v>72000</v>
      </c>
      <c r="C7" s="22" t="s">
        <v>215</v>
      </c>
      <c r="D7" s="25" t="s">
        <v>107</v>
      </c>
    </row>
    <row r="8" customFormat="false" ht="15" hidden="false" customHeight="false" outlineLevel="0" collapsed="false">
      <c r="A8" s="6" t="s">
        <v>216</v>
      </c>
      <c r="B8" s="27" t="n">
        <v>8000</v>
      </c>
      <c r="C8" s="18" t="s">
        <v>217</v>
      </c>
      <c r="D8" s="21" t="s">
        <v>107</v>
      </c>
    </row>
    <row r="9" customFormat="false" ht="15" hidden="false" customHeight="false" outlineLevel="0" collapsed="false">
      <c r="A9" s="8" t="s">
        <v>218</v>
      </c>
      <c r="B9" s="28" t="n">
        <v>11250</v>
      </c>
      <c r="C9" s="22" t="s">
        <v>219</v>
      </c>
      <c r="D9" s="25" t="s">
        <v>107</v>
      </c>
    </row>
    <row r="10" customFormat="false" ht="15" hidden="false" customHeight="false" outlineLevel="0" collapsed="false">
      <c r="A10" s="6" t="s">
        <v>220</v>
      </c>
      <c r="B10" s="27" t="n">
        <v>7500</v>
      </c>
      <c r="C10" s="18" t="s">
        <v>221</v>
      </c>
      <c r="D10" s="21" t="s">
        <v>107</v>
      </c>
    </row>
    <row r="11" customFormat="false" ht="15" hidden="false" customHeight="false" outlineLevel="0" collapsed="false">
      <c r="A11" s="8" t="s">
        <v>222</v>
      </c>
      <c r="B11" s="28" t="n">
        <v>72000</v>
      </c>
      <c r="C11" s="22" t="s">
        <v>223</v>
      </c>
      <c r="D11" s="25" t="s">
        <v>107</v>
      </c>
    </row>
    <row r="12" customFormat="false" ht="15" hidden="false" customHeight="false" outlineLevel="0" collapsed="false">
      <c r="A12" s="6" t="s">
        <v>224</v>
      </c>
      <c r="B12" s="27" t="n">
        <v>4300</v>
      </c>
      <c r="C12" s="18" t="s">
        <v>225</v>
      </c>
      <c r="D12" s="21" t="s">
        <v>107</v>
      </c>
    </row>
    <row r="15" customFormat="false" ht="15" hidden="false" customHeight="false" outlineLevel="0" collapsed="false">
      <c r="A15" s="17" t="s">
        <v>226</v>
      </c>
    </row>
    <row r="16" customFormat="false" ht="15" hidden="false" customHeight="false" outlineLevel="0" collapsed="false">
      <c r="A16" s="38" t="s">
        <v>227</v>
      </c>
      <c r="B16" s="39" t="n">
        <v>60000</v>
      </c>
    </row>
    <row r="17" customFormat="false" ht="15" hidden="false" customHeight="false" outlineLevel="0" collapsed="false">
      <c r="A17" s="38" t="s">
        <v>228</v>
      </c>
      <c r="B17" s="40" t="n">
        <v>0.05</v>
      </c>
    </row>
    <row r="18" customFormat="false" ht="15" hidden="false" customHeight="false" outlineLevel="0" collapsed="false">
      <c r="A18" s="38" t="s">
        <v>229</v>
      </c>
      <c r="B18" s="40" t="n">
        <v>0.05</v>
      </c>
    </row>
    <row r="19" customFormat="false" ht="15" hidden="false" customHeight="false" outlineLevel="0" collapsed="false">
      <c r="A19" s="38" t="s">
        <v>230</v>
      </c>
      <c r="B19" s="20" t="n">
        <f aca="false">B16*B17</f>
        <v>3000</v>
      </c>
    </row>
    <row r="20" customFormat="false" ht="15" hidden="false" customHeight="false" outlineLevel="0" collapsed="false">
      <c r="A20" s="38" t="s">
        <v>231</v>
      </c>
      <c r="B20" s="41" t="n">
        <f aca="false">B16*MIN(B17,B18)</f>
        <v>3000</v>
      </c>
    </row>
    <row r="21" customFormat="false" ht="15" hidden="false" customHeight="false" outlineLevel="0" collapsed="false">
      <c r="A21" s="38" t="s">
        <v>232</v>
      </c>
      <c r="B21" s="42" t="n">
        <f aca="false">B20/B16</f>
        <v>0.05</v>
      </c>
    </row>
    <row r="22" customFormat="false" ht="15" hidden="false" customHeight="true" outlineLevel="0" collapsed="false">
      <c r="A22" s="26" t="s">
        <v>233</v>
      </c>
      <c r="B22" s="26"/>
      <c r="C22" s="26"/>
      <c r="D22" s="26"/>
    </row>
  </sheetData>
  <mergeCells count="3">
    <mergeCell ref="A1:I1"/>
    <mergeCell ref="A2:I2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6" min="4" style="0" width="18"/>
  </cols>
  <sheetData>
    <row r="1" customFormat="false" ht="25.5" hidden="false" customHeight="true" outlineLevel="0" collapsed="false">
      <c r="A1" s="15" t="s">
        <v>234</v>
      </c>
      <c r="B1" s="15"/>
      <c r="C1" s="15"/>
      <c r="D1" s="15"/>
      <c r="E1" s="15"/>
      <c r="F1" s="15"/>
      <c r="G1" s="15"/>
      <c r="H1" s="15"/>
      <c r="I1" s="15"/>
    </row>
    <row r="2" customFormat="false" ht="15" hidden="false" customHeight="true" outlineLevel="0" collapsed="false">
      <c r="A2" s="16" t="s">
        <v>235</v>
      </c>
      <c r="B2" s="16"/>
      <c r="C2" s="16"/>
      <c r="D2" s="16"/>
      <c r="E2" s="16"/>
      <c r="F2" s="16"/>
      <c r="G2" s="16"/>
      <c r="H2" s="16"/>
      <c r="I2" s="16"/>
    </row>
    <row r="4" customFormat="false" ht="15" hidden="false" customHeight="false" outlineLevel="0" collapsed="false">
      <c r="A4" s="17" t="s">
        <v>236</v>
      </c>
    </row>
    <row r="5" customFormat="false" ht="15" hidden="false" customHeight="false" outlineLevel="0" collapsed="false">
      <c r="A5" s="38" t="s">
        <v>237</v>
      </c>
      <c r="B5" s="39" t="n">
        <v>7000</v>
      </c>
    </row>
    <row r="6" customFormat="false" ht="15" hidden="false" customHeight="false" outlineLevel="0" collapsed="false">
      <c r="A6" s="38" t="s">
        <v>238</v>
      </c>
      <c r="B6" s="40" t="n">
        <v>0.07</v>
      </c>
    </row>
    <row r="7" customFormat="false" ht="15" hidden="false" customHeight="false" outlineLevel="0" collapsed="false">
      <c r="A7" s="38" t="s">
        <v>239</v>
      </c>
      <c r="B7" s="43" t="n">
        <v>40</v>
      </c>
    </row>
    <row r="8" customFormat="false" ht="15" hidden="false" customHeight="false" outlineLevel="0" collapsed="false">
      <c r="A8" s="44" t="s">
        <v>240</v>
      </c>
      <c r="B8" s="45" t="n">
        <f aca="false">IF(B6=0,B5*B7,B5*((( 1+B6)^B7-1)/B6))</f>
        <v>1397445.7839207</v>
      </c>
    </row>
    <row r="9" customFormat="false" ht="15" hidden="false" customHeight="false" outlineLevel="0" collapsed="false">
      <c r="A9" s="38" t="s">
        <v>241</v>
      </c>
      <c r="B9" s="20" t="n">
        <f aca="false">B5*B7</f>
        <v>280000</v>
      </c>
    </row>
    <row r="10" customFormat="false" ht="15" hidden="false" customHeight="false" outlineLevel="0" collapsed="false">
      <c r="A10" s="38" t="s">
        <v>242</v>
      </c>
      <c r="B10" s="20" t="n">
        <f aca="false">B8-B9</f>
        <v>1117445.7839207</v>
      </c>
    </row>
    <row r="12" customFormat="false" ht="15" hidden="false" customHeight="false" outlineLevel="0" collapsed="false">
      <c r="A12" s="17" t="s">
        <v>243</v>
      </c>
    </row>
    <row r="13" customFormat="false" ht="30" hidden="false" customHeight="true" outlineLevel="0" collapsed="false">
      <c r="A13" s="5" t="s">
        <v>244</v>
      </c>
      <c r="B13" s="5" t="s">
        <v>239</v>
      </c>
      <c r="C13" s="5" t="s">
        <v>245</v>
      </c>
    </row>
    <row r="14" customFormat="false" ht="15" hidden="false" customHeight="false" outlineLevel="0" collapsed="false">
      <c r="A14" s="6" t="s">
        <v>246</v>
      </c>
      <c r="B14" s="46" t="n">
        <f aca="false">B7</f>
        <v>40</v>
      </c>
      <c r="C14" s="47" t="n">
        <f aca="false">IF(B6=0,B5*B7,B5*(((1+B6)^B7-1)/B6))</f>
        <v>1397445.7839207</v>
      </c>
    </row>
    <row r="15" customFormat="false" ht="15" hidden="false" customHeight="false" outlineLevel="0" collapsed="false">
      <c r="A15" s="6" t="s">
        <v>247</v>
      </c>
      <c r="B15" s="48" t="n">
        <f aca="false">MAX(B7-10,0)</f>
        <v>30</v>
      </c>
      <c r="C15" s="47" t="n">
        <f aca="false">IF(B6=0,B5*MAX(B7-10,0),B5*(((1+B6)^MAX(B7-10,0)-1)/B6))</f>
        <v>661225.504266204</v>
      </c>
    </row>
    <row r="16" customFormat="false" ht="15" hidden="false" customHeight="false" outlineLevel="0" collapsed="false">
      <c r="A16" s="6" t="s">
        <v>248</v>
      </c>
      <c r="B16" s="49"/>
      <c r="C16" s="50" t="n">
        <f aca="false">C14-C15</f>
        <v>736220.279654494</v>
      </c>
    </row>
    <row r="17" customFormat="false" ht="19.4" hidden="false" customHeight="true" outlineLevel="0" collapsed="false">
      <c r="A17" s="26" t="s">
        <v>249</v>
      </c>
      <c r="B17" s="26"/>
      <c r="C17" s="26"/>
      <c r="D17" s="26"/>
    </row>
  </sheetData>
  <mergeCells count="3">
    <mergeCell ref="A1:I1"/>
    <mergeCell ref="A2:I2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4"/>
  </cols>
  <sheetData>
    <row r="1" customFormat="false" ht="25.5" hidden="false" customHeight="true" outlineLevel="0" collapsed="false">
      <c r="A1" s="15" t="s">
        <v>250</v>
      </c>
      <c r="B1" s="15"/>
      <c r="C1" s="15"/>
      <c r="D1" s="15"/>
      <c r="E1" s="15"/>
      <c r="F1" s="15"/>
      <c r="G1" s="15"/>
      <c r="H1" s="15"/>
      <c r="I1" s="15"/>
    </row>
    <row r="2" customFormat="false" ht="15" hidden="false" customHeight="true" outlineLevel="0" collapsed="false">
      <c r="A2" s="16" t="s">
        <v>251</v>
      </c>
      <c r="B2" s="16"/>
      <c r="C2" s="16"/>
      <c r="D2" s="16"/>
      <c r="E2" s="16"/>
      <c r="F2" s="16"/>
      <c r="G2" s="16"/>
      <c r="H2" s="16"/>
      <c r="I2" s="16"/>
    </row>
    <row r="4" customFormat="false" ht="15" hidden="false" customHeight="false" outlineLevel="0" collapsed="false">
      <c r="A4" s="17" t="s">
        <v>252</v>
      </c>
    </row>
    <row r="5" customFormat="false" ht="15" hidden="false" customHeight="false" outlineLevel="0" collapsed="false">
      <c r="A5" s="38" t="s">
        <v>253</v>
      </c>
      <c r="B5" s="39" t="n">
        <v>24000</v>
      </c>
    </row>
    <row r="7" customFormat="false" ht="30" hidden="false" customHeight="true" outlineLevel="0" collapsed="false">
      <c r="A7" s="5" t="s">
        <v>254</v>
      </c>
      <c r="B7" s="5" t="s">
        <v>255</v>
      </c>
      <c r="C7" s="5" t="s">
        <v>256</v>
      </c>
      <c r="D7" s="5" t="s">
        <v>257</v>
      </c>
      <c r="E7" s="5" t="s">
        <v>211</v>
      </c>
    </row>
    <row r="8" customFormat="false" ht="15" hidden="false" customHeight="false" outlineLevel="0" collapsed="false">
      <c r="A8" s="6" t="s">
        <v>258</v>
      </c>
      <c r="B8" s="30" t="n">
        <v>0.02</v>
      </c>
      <c r="C8" s="51" t="n">
        <v>1</v>
      </c>
      <c r="D8" s="41" t="n">
        <f aca="false">B5*B8*C8</f>
        <v>480</v>
      </c>
      <c r="E8" s="18" t="s">
        <v>259</v>
      </c>
    </row>
    <row r="9" customFormat="false" ht="15" hidden="false" customHeight="false" outlineLevel="0" collapsed="false">
      <c r="A9" s="8" t="s">
        <v>260</v>
      </c>
      <c r="B9" s="29" t="n">
        <v>0.015</v>
      </c>
      <c r="C9" s="52" t="n">
        <v>2</v>
      </c>
      <c r="D9" s="53" t="n">
        <f aca="false">B5*B9*C9</f>
        <v>720</v>
      </c>
      <c r="E9" s="22" t="s">
        <v>261</v>
      </c>
    </row>
    <row r="10" customFormat="false" ht="15" hidden="false" customHeight="false" outlineLevel="0" collapsed="false">
      <c r="A10" s="6" t="s">
        <v>262</v>
      </c>
      <c r="B10" s="30" t="n">
        <v>0.04</v>
      </c>
      <c r="C10" s="51" t="n">
        <v>2</v>
      </c>
      <c r="D10" s="41" t="n">
        <f aca="false">B5*B10*C10</f>
        <v>1920</v>
      </c>
      <c r="E10" s="18" t="s">
        <v>263</v>
      </c>
    </row>
    <row r="11" customFormat="false" ht="22.35" hidden="false" customHeight="false" outlineLevel="0" collapsed="false">
      <c r="A11" s="8" t="s">
        <v>264</v>
      </c>
      <c r="B11" s="29" t="n">
        <v>0.01</v>
      </c>
      <c r="C11" s="52" t="n">
        <v>2</v>
      </c>
      <c r="D11" s="53" t="n">
        <f aca="false">B5*B11*C11</f>
        <v>480</v>
      </c>
      <c r="E11" s="22" t="s">
        <v>265</v>
      </c>
    </row>
    <row r="12" customFormat="false" ht="19.4" hidden="false" customHeight="true" outlineLevel="0" collapsed="false">
      <c r="A12" s="26" t="s">
        <v>266</v>
      </c>
      <c r="B12" s="26"/>
      <c r="C12" s="26"/>
      <c r="D12" s="26"/>
      <c r="E12" s="26"/>
    </row>
    <row r="14" customFormat="false" ht="15" hidden="false" customHeight="false" outlineLevel="0" collapsed="false">
      <c r="A14" s="17" t="s">
        <v>267</v>
      </c>
    </row>
    <row r="15" customFormat="false" ht="30" hidden="false" customHeight="true" outlineLevel="0" collapsed="false">
      <c r="A15" s="5" t="s">
        <v>268</v>
      </c>
      <c r="B15" s="5" t="s">
        <v>98</v>
      </c>
      <c r="C15" s="5" t="s">
        <v>45</v>
      </c>
    </row>
    <row r="16" customFormat="false" ht="15" hidden="false" customHeight="false" outlineLevel="0" collapsed="false">
      <c r="A16" s="6" t="s">
        <v>269</v>
      </c>
      <c r="B16" s="27" t="n">
        <v>15100000000</v>
      </c>
      <c r="C16" s="21" t="s">
        <v>270</v>
      </c>
    </row>
    <row r="17" customFormat="false" ht="23.85" hidden="false" customHeight="false" outlineLevel="0" collapsed="false">
      <c r="A17" s="8" t="s">
        <v>271</v>
      </c>
      <c r="B17" s="28" t="n">
        <v>30000000000</v>
      </c>
      <c r="C17" s="25" t="s">
        <v>272</v>
      </c>
    </row>
    <row r="18" customFormat="false" ht="15" hidden="false" customHeight="false" outlineLevel="0" collapsed="false">
      <c r="A18" s="6" t="s">
        <v>273</v>
      </c>
      <c r="B18" s="27" t="n">
        <v>160000000000</v>
      </c>
      <c r="C18" s="21" t="s">
        <v>272</v>
      </c>
    </row>
    <row r="19" customFormat="false" ht="15" hidden="false" customHeight="false" outlineLevel="0" collapsed="false">
      <c r="A19" s="8" t="s">
        <v>274</v>
      </c>
      <c r="B19" s="29" t="n">
        <v>0.06</v>
      </c>
      <c r="C19" s="25" t="s">
        <v>275</v>
      </c>
    </row>
    <row r="20" customFormat="false" ht="15" hidden="false" customHeight="false" outlineLevel="0" collapsed="false">
      <c r="A20" s="6" t="s">
        <v>276</v>
      </c>
      <c r="B20" s="30" t="n">
        <v>0.36</v>
      </c>
      <c r="C20" s="21" t="s">
        <v>277</v>
      </c>
    </row>
  </sheetData>
  <mergeCells count="3">
    <mergeCell ref="A1:I1"/>
    <mergeCell ref="A2:I2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26"/>
  </cols>
  <sheetData>
    <row r="1" customFormat="false" ht="25.5" hidden="false" customHeight="true" outlineLevel="0" collapsed="false">
      <c r="A1" s="15" t="s">
        <v>278</v>
      </c>
      <c r="B1" s="15"/>
      <c r="C1" s="15"/>
      <c r="D1" s="15"/>
      <c r="E1" s="15"/>
      <c r="F1" s="15"/>
      <c r="G1" s="15"/>
      <c r="H1" s="15"/>
      <c r="I1" s="15"/>
    </row>
    <row r="2" customFormat="false" ht="15" hidden="false" customHeight="true" outlineLevel="0" collapsed="false">
      <c r="A2" s="16" t="s">
        <v>279</v>
      </c>
      <c r="B2" s="16"/>
      <c r="C2" s="16"/>
      <c r="D2" s="16"/>
      <c r="E2" s="16"/>
      <c r="F2" s="16"/>
      <c r="G2" s="16"/>
      <c r="H2" s="16"/>
      <c r="I2" s="16"/>
    </row>
    <row r="4" customFormat="false" ht="15" hidden="false" customHeight="false" outlineLevel="0" collapsed="false">
      <c r="A4" s="17" t="s">
        <v>280</v>
      </c>
    </row>
    <row r="5" customFormat="false" ht="30" hidden="false" customHeight="true" outlineLevel="0" collapsed="false">
      <c r="A5" s="5" t="s">
        <v>80</v>
      </c>
      <c r="B5" s="5" t="s">
        <v>98</v>
      </c>
      <c r="C5" s="5" t="s">
        <v>45</v>
      </c>
    </row>
    <row r="6" customFormat="false" ht="19.4" hidden="false" customHeight="false" outlineLevel="0" collapsed="false">
      <c r="A6" s="6" t="s">
        <v>281</v>
      </c>
      <c r="B6" s="54" t="n">
        <v>0.06</v>
      </c>
      <c r="C6" s="21" t="s">
        <v>282</v>
      </c>
    </row>
    <row r="7" customFormat="false" ht="15" hidden="false" customHeight="false" outlineLevel="0" collapsed="false">
      <c r="A7" s="8" t="s">
        <v>283</v>
      </c>
      <c r="B7" s="55" t="n">
        <v>0.36</v>
      </c>
      <c r="C7" s="25" t="s">
        <v>277</v>
      </c>
    </row>
    <row r="8" customFormat="false" ht="19.4" hidden="false" customHeight="false" outlineLevel="0" collapsed="false">
      <c r="A8" s="6" t="s">
        <v>284</v>
      </c>
      <c r="B8" s="54" t="n">
        <v>0.0215</v>
      </c>
      <c r="C8" s="21" t="s">
        <v>285</v>
      </c>
    </row>
    <row r="9" customFormat="false" ht="15" hidden="false" customHeight="false" outlineLevel="0" collapsed="false">
      <c r="A9" s="8" t="s">
        <v>286</v>
      </c>
      <c r="B9" s="55" t="n">
        <v>0.0075</v>
      </c>
      <c r="C9" s="25" t="s">
        <v>287</v>
      </c>
    </row>
    <row r="12" customFormat="false" ht="15" hidden="false" customHeight="false" outlineLevel="0" collapsed="false">
      <c r="A12" s="17" t="s">
        <v>288</v>
      </c>
    </row>
    <row r="13" customFormat="false" ht="15" hidden="false" customHeight="false" outlineLevel="0" collapsed="false">
      <c r="A13" s="38" t="s">
        <v>289</v>
      </c>
      <c r="B13" s="39" t="n">
        <v>400000</v>
      </c>
    </row>
    <row r="14" customFormat="false" ht="15" hidden="false" customHeight="false" outlineLevel="0" collapsed="false">
      <c r="A14" s="38" t="s">
        <v>290</v>
      </c>
      <c r="B14" s="56" t="n">
        <v>0.0215</v>
      </c>
    </row>
    <row r="15" customFormat="false" ht="15" hidden="false" customHeight="false" outlineLevel="0" collapsed="false">
      <c r="A15" s="38" t="s">
        <v>291</v>
      </c>
      <c r="B15" s="56" t="n">
        <v>0.0075</v>
      </c>
    </row>
    <row r="16" customFormat="false" ht="15" hidden="false" customHeight="false" outlineLevel="0" collapsed="false">
      <c r="A16" s="38" t="s">
        <v>292</v>
      </c>
      <c r="B16" s="20" t="n">
        <f aca="false">B13*B14</f>
        <v>8600</v>
      </c>
    </row>
    <row r="17" customFormat="false" ht="15" hidden="false" customHeight="false" outlineLevel="0" collapsed="false">
      <c r="A17" s="38" t="s">
        <v>293</v>
      </c>
      <c r="B17" s="41" t="n">
        <f aca="false">B13*B15</f>
        <v>3000</v>
      </c>
    </row>
    <row r="18" customFormat="false" ht="15" hidden="false" customHeight="false" outlineLevel="0" collapsed="false">
      <c r="A18" s="38" t="s">
        <v>294</v>
      </c>
      <c r="B18" s="20" t="n">
        <f aca="false">B17/12</f>
        <v>250</v>
      </c>
    </row>
    <row r="19" customFormat="false" ht="15" hidden="false" customHeight="false" outlineLevel="0" collapsed="false">
      <c r="A19" s="38" t="s">
        <v>295</v>
      </c>
      <c r="B19" s="41" t="n">
        <f aca="false">B17*10</f>
        <v>30000</v>
      </c>
    </row>
    <row r="20" customFormat="false" ht="19.4" hidden="false" customHeight="true" outlineLevel="0" collapsed="false">
      <c r="A20" s="26" t="s">
        <v>296</v>
      </c>
      <c r="B20" s="26"/>
      <c r="C20" s="26"/>
    </row>
  </sheetData>
  <mergeCells count="3">
    <mergeCell ref="A1:I1"/>
    <mergeCell ref="A2:I2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5" min="5" style="0" width="22"/>
  </cols>
  <sheetData>
    <row r="1" customFormat="false" ht="25.5" hidden="false" customHeight="true" outlineLevel="0" collapsed="false">
      <c r="A1" s="15" t="s">
        <v>297</v>
      </c>
      <c r="B1" s="15"/>
      <c r="C1" s="15"/>
      <c r="D1" s="15"/>
      <c r="E1" s="15"/>
      <c r="F1" s="15"/>
      <c r="G1" s="15"/>
      <c r="H1" s="15"/>
      <c r="I1" s="15"/>
    </row>
    <row r="2" customFormat="false" ht="15" hidden="false" customHeight="true" outlineLevel="0" collapsed="false">
      <c r="A2" s="16" t="s">
        <v>298</v>
      </c>
      <c r="B2" s="16"/>
      <c r="C2" s="16"/>
      <c r="D2" s="16"/>
      <c r="E2" s="16"/>
      <c r="F2" s="16"/>
      <c r="G2" s="16"/>
      <c r="H2" s="16"/>
      <c r="I2" s="16"/>
    </row>
    <row r="4" customFormat="false" ht="30" hidden="false" customHeight="true" outlineLevel="0" collapsed="false">
      <c r="A4" s="5" t="s">
        <v>299</v>
      </c>
      <c r="B4" s="5" t="s">
        <v>300</v>
      </c>
      <c r="C4" s="5" t="s">
        <v>301</v>
      </c>
      <c r="D4" s="5" t="s">
        <v>302</v>
      </c>
      <c r="E4" s="5" t="s">
        <v>45</v>
      </c>
    </row>
    <row r="5" customFormat="false" ht="15" hidden="false" customHeight="false" outlineLevel="0" collapsed="false">
      <c r="A5" s="6" t="s">
        <v>303</v>
      </c>
      <c r="B5" s="20" t="n">
        <f aca="false">57.88*12</f>
        <v>694.56</v>
      </c>
      <c r="C5" s="20" t="n">
        <v>1904</v>
      </c>
      <c r="D5" s="41" t="n">
        <f aca="false">C5-B5</f>
        <v>1209.44</v>
      </c>
      <c r="E5" s="21" t="s">
        <v>304</v>
      </c>
    </row>
    <row r="6" customFormat="false" ht="15" hidden="false" customHeight="false" outlineLevel="0" collapsed="false">
      <c r="A6" s="8" t="s">
        <v>305</v>
      </c>
      <c r="B6" s="24" t="n">
        <f aca="false">26*12</f>
        <v>312</v>
      </c>
      <c r="C6" s="24" t="n">
        <f aca="false">30*12</f>
        <v>360</v>
      </c>
      <c r="D6" s="53" t="n">
        <f aca="false">C6-B6</f>
        <v>48</v>
      </c>
      <c r="E6" s="25" t="s">
        <v>306</v>
      </c>
    </row>
    <row r="8" customFormat="false" ht="23.85" hidden="false" customHeight="true" outlineLevel="0" collapsed="false">
      <c r="A8" s="38" t="s">
        <v>307</v>
      </c>
      <c r="B8" s="41" t="n">
        <f aca="false">60000*0.05</f>
        <v>3000</v>
      </c>
      <c r="C8" s="57" t="s">
        <v>308</v>
      </c>
      <c r="D8" s="57"/>
      <c r="E8" s="57"/>
    </row>
    <row r="10" customFormat="false" ht="15" hidden="false" customHeight="true" outlineLevel="0" collapsed="false">
      <c r="A10" s="26" t="s">
        <v>309</v>
      </c>
      <c r="B10" s="26"/>
      <c r="C10" s="26"/>
      <c r="D10" s="26"/>
      <c r="E10" s="26"/>
    </row>
  </sheetData>
  <mergeCells count="4">
    <mergeCell ref="A1:I1"/>
    <mergeCell ref="A2:I2"/>
    <mergeCell ref="C8:E8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6"/>
    <col collapsed="false" customWidth="true" hidden="false" outlineLevel="0" max="3" min="3" style="0" width="30"/>
  </cols>
  <sheetData>
    <row r="1" customFormat="false" ht="25.5" hidden="false" customHeight="true" outlineLevel="0" collapsed="false">
      <c r="A1" s="15" t="s">
        <v>24</v>
      </c>
      <c r="B1" s="15"/>
      <c r="C1" s="15"/>
      <c r="D1" s="15"/>
      <c r="E1" s="15"/>
      <c r="F1" s="15"/>
      <c r="G1" s="15"/>
      <c r="H1" s="15"/>
      <c r="I1" s="15"/>
    </row>
    <row r="2" customFormat="false" ht="15" hidden="false" customHeight="true" outlineLevel="0" collapsed="false">
      <c r="A2" s="16" t="s">
        <v>310</v>
      </c>
      <c r="B2" s="16"/>
      <c r="C2" s="16"/>
      <c r="D2" s="16"/>
      <c r="E2" s="16"/>
      <c r="F2" s="16"/>
      <c r="G2" s="16"/>
      <c r="H2" s="16"/>
      <c r="I2" s="16"/>
    </row>
    <row r="4" customFormat="false" ht="30" hidden="false" customHeight="true" outlineLevel="0" collapsed="false">
      <c r="A4" s="5" t="s">
        <v>311</v>
      </c>
      <c r="B4" s="5" t="s">
        <v>45</v>
      </c>
      <c r="C4" s="5" t="s">
        <v>312</v>
      </c>
    </row>
    <row r="5" customFormat="false" ht="15" hidden="false" customHeight="false" outlineLevel="0" collapsed="false">
      <c r="A5" s="58" t="n">
        <v>1</v>
      </c>
      <c r="B5" s="18" t="s">
        <v>313</v>
      </c>
      <c r="C5" s="59" t="s">
        <v>314</v>
      </c>
    </row>
    <row r="6" customFormat="false" ht="15" hidden="false" customHeight="false" outlineLevel="0" collapsed="false">
      <c r="A6" s="60" t="n">
        <v>2</v>
      </c>
      <c r="B6" s="22" t="s">
        <v>315</v>
      </c>
      <c r="C6" s="61" t="s">
        <v>316</v>
      </c>
    </row>
    <row r="7" customFormat="false" ht="15" hidden="false" customHeight="false" outlineLevel="0" collapsed="false">
      <c r="A7" s="58" t="n">
        <v>3</v>
      </c>
      <c r="B7" s="18" t="s">
        <v>317</v>
      </c>
      <c r="C7" s="59" t="s">
        <v>318</v>
      </c>
    </row>
    <row r="8" customFormat="false" ht="22.35" hidden="false" customHeight="false" outlineLevel="0" collapsed="false">
      <c r="A8" s="60" t="n">
        <v>4</v>
      </c>
      <c r="B8" s="22" t="s">
        <v>319</v>
      </c>
      <c r="C8" s="61" t="s">
        <v>320</v>
      </c>
    </row>
    <row r="9" customFormat="false" ht="15" hidden="false" customHeight="false" outlineLevel="0" collapsed="false">
      <c r="A9" s="58" t="n">
        <v>5</v>
      </c>
      <c r="B9" s="18" t="s">
        <v>321</v>
      </c>
      <c r="C9" s="59" t="s">
        <v>322</v>
      </c>
    </row>
    <row r="10" customFormat="false" ht="15" hidden="false" customHeight="false" outlineLevel="0" collapsed="false">
      <c r="A10" s="60" t="n">
        <v>6</v>
      </c>
      <c r="B10" s="22" t="s">
        <v>323</v>
      </c>
      <c r="C10" s="61" t="s">
        <v>324</v>
      </c>
    </row>
    <row r="11" customFormat="false" ht="15" hidden="false" customHeight="false" outlineLevel="0" collapsed="false">
      <c r="A11" s="58" t="n">
        <v>7</v>
      </c>
      <c r="B11" s="18" t="s">
        <v>325</v>
      </c>
      <c r="C11" s="59" t="s">
        <v>326</v>
      </c>
    </row>
    <row r="12" customFormat="false" ht="15" hidden="false" customHeight="false" outlineLevel="0" collapsed="false">
      <c r="A12" s="60" t="n">
        <v>8</v>
      </c>
      <c r="B12" s="22" t="s">
        <v>327</v>
      </c>
      <c r="C12" s="61" t="s">
        <v>328</v>
      </c>
    </row>
    <row r="13" customFormat="false" ht="15" hidden="false" customHeight="false" outlineLevel="0" collapsed="false">
      <c r="A13" s="58" t="n">
        <v>9</v>
      </c>
      <c r="B13" s="18" t="s">
        <v>329</v>
      </c>
      <c r="C13" s="59" t="s">
        <v>330</v>
      </c>
    </row>
    <row r="14" customFormat="false" ht="15" hidden="false" customHeight="false" outlineLevel="0" collapsed="false">
      <c r="A14" s="60" t="n">
        <v>10</v>
      </c>
      <c r="B14" s="22" t="s">
        <v>331</v>
      </c>
      <c r="C14" s="61" t="s">
        <v>332</v>
      </c>
    </row>
    <row r="15" customFormat="false" ht="15" hidden="false" customHeight="false" outlineLevel="0" collapsed="false">
      <c r="A15" s="58" t="n">
        <v>11</v>
      </c>
      <c r="B15" s="18" t="s">
        <v>333</v>
      </c>
      <c r="C15" s="59" t="s">
        <v>334</v>
      </c>
    </row>
    <row r="16" customFormat="false" ht="15" hidden="false" customHeight="false" outlineLevel="0" collapsed="false">
      <c r="A16" s="60" t="n">
        <v>12</v>
      </c>
      <c r="B16" s="22" t="s">
        <v>335</v>
      </c>
      <c r="C16" s="61" t="s">
        <v>336</v>
      </c>
    </row>
    <row r="17" customFormat="false" ht="15" hidden="false" customHeight="false" outlineLevel="0" collapsed="false">
      <c r="A17" s="58" t="n">
        <v>13</v>
      </c>
      <c r="B17" s="18" t="s">
        <v>337</v>
      </c>
      <c r="C17" s="59" t="s">
        <v>338</v>
      </c>
    </row>
    <row r="18" customFormat="false" ht="15" hidden="false" customHeight="false" outlineLevel="0" collapsed="false">
      <c r="A18" s="60" t="n">
        <v>14</v>
      </c>
      <c r="B18" s="22" t="s">
        <v>339</v>
      </c>
      <c r="C18" s="61" t="s">
        <v>340</v>
      </c>
    </row>
    <row r="19" customFormat="false" ht="15" hidden="false" customHeight="false" outlineLevel="0" collapsed="false">
      <c r="A19" s="58" t="n">
        <v>15</v>
      </c>
      <c r="B19" s="18" t="s">
        <v>341</v>
      </c>
      <c r="C19" s="59" t="s">
        <v>342</v>
      </c>
    </row>
    <row r="20" customFormat="false" ht="15" hidden="false" customHeight="false" outlineLevel="0" collapsed="false">
      <c r="A20" s="60" t="n">
        <v>16</v>
      </c>
      <c r="B20" s="22" t="s">
        <v>343</v>
      </c>
      <c r="C20" s="61" t="s">
        <v>344</v>
      </c>
    </row>
    <row r="21" customFormat="false" ht="15" hidden="false" customHeight="false" outlineLevel="0" collapsed="false">
      <c r="A21" s="58" t="n">
        <v>17</v>
      </c>
      <c r="B21" s="18" t="s">
        <v>345</v>
      </c>
      <c r="C21" s="59" t="s">
        <v>346</v>
      </c>
    </row>
    <row r="22" customFormat="false" ht="15" hidden="false" customHeight="false" outlineLevel="0" collapsed="false">
      <c r="A22" s="60" t="n">
        <v>18</v>
      </c>
      <c r="B22" s="22" t="s">
        <v>347</v>
      </c>
      <c r="C22" s="61" t="s">
        <v>348</v>
      </c>
    </row>
    <row r="23" customFormat="false" ht="15" hidden="false" customHeight="false" outlineLevel="0" collapsed="false">
      <c r="A23" s="58" t="n">
        <v>19</v>
      </c>
      <c r="B23" s="18" t="s">
        <v>349</v>
      </c>
      <c r="C23" s="59" t="s">
        <v>350</v>
      </c>
    </row>
    <row r="24" customFormat="false" ht="15" hidden="false" customHeight="false" outlineLevel="0" collapsed="false">
      <c r="A24" s="60" t="n">
        <v>20</v>
      </c>
      <c r="B24" s="22" t="s">
        <v>351</v>
      </c>
      <c r="C24" s="61" t="s">
        <v>352</v>
      </c>
    </row>
    <row r="25" customFormat="false" ht="15" hidden="false" customHeight="false" outlineLevel="0" collapsed="false">
      <c r="A25" s="58" t="n">
        <v>21</v>
      </c>
      <c r="B25" s="18" t="s">
        <v>353</v>
      </c>
      <c r="C25" s="59" t="s">
        <v>354</v>
      </c>
    </row>
    <row r="26" customFormat="false" ht="22.35" hidden="false" customHeight="false" outlineLevel="0" collapsed="false">
      <c r="A26" s="60" t="n">
        <v>22</v>
      </c>
      <c r="B26" s="22" t="s">
        <v>355</v>
      </c>
      <c r="C26" s="61" t="s">
        <v>356</v>
      </c>
    </row>
    <row r="28" customFormat="false" ht="19.4" hidden="false" customHeight="true" outlineLevel="0" collapsed="false">
      <c r="A28" s="26" t="s">
        <v>357</v>
      </c>
      <c r="B28" s="26"/>
      <c r="C28" s="26"/>
    </row>
  </sheetData>
  <mergeCells count="3">
    <mergeCell ref="A1:I1"/>
    <mergeCell ref="A2:I2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2026-07-20T00:38:52Z</dcterms:created>
  <dc:creator>openpyxl</dc:creator>
  <dc:description/>
  <dc:language>en-US</dc:language>
  <cp:lastModifiedBy/>
  <dcterms:modified xsi:type="dcterms:W3CDTF">2026-07-20T00:38:52Z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