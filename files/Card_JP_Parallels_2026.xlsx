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kemon" sheetId="2" state="visible" r:id="rId4"/>
    <sheet name="Magic" sheetId="3" state="visible" r:id="rId5"/>
    <sheet name="OnePiece" sheetId="4" state="visible" r:id="rId6"/>
    <sheet name="DragonBallFusion" sheetId="5" state="visible" r:id="rId7"/>
    <sheet name="Digimon" sheetId="6" state="visible" r:id="rId8"/>
    <sheet name="WeissSchwarz" sheetId="7" state="visible" r:id="rId9"/>
    <sheet name="UnionAren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<sst xmlns="http://schemas.openxmlformats.org/spreadsheetml/2006/main" count="102" uniqueCount="63">
  <si>
    <t xml:space="preserve">Japanese Parallels — Arbitrage Tracker</t>
  </si>
  <si>
    <t xml:space="preserve">JP-vs-EN sealed spreads per game. Mid-2026. Green = buy JP; red = buy EN.</t>
  </si>
  <si>
    <t xml:space="preserve">Patience pays. 🦞</t>
  </si>
  <si>
    <t xml:space="preserve">Anime-IP Bandai products (Dragon Ball Fusion World, Digimon) carry the strongest JP arbitrage in the market — JP boxes routinely 40-60% below English. Pokemon JP narrowed slightly after Japan raised pack MSRP in May 2026, but the 2-4 month JP-to-EN release lead is still the key early-access edge. For Weiss Schwarz and Union Arena the direction often REVERSES (EN cheaper, or JP carries authentic SP-signed pull rates worth the premium). Savings columns are live formulas — edit EN/JP prices and they recompute.</t>
  </si>
  <si>
    <t xml:space="preserve">Pokemon — JP Parallels</t>
  </si>
  <si>
    <t xml:space="preserve">JP narrowed after May 2026 MSRP hike; JP cards often trade ABOVE EN. Edge is the 2-4 month release lead, not price.</t>
  </si>
  <si>
    <t xml:space="preserve">Set</t>
  </si>
  <si>
    <t xml:space="preserve">EN ($)</t>
  </si>
  <si>
    <t xml:space="preserve">JP ($)</t>
  </si>
  <si>
    <t xml:space="preserve">Savings ($)</t>
  </si>
  <si>
    <t xml:space="preserve">Savings %</t>
  </si>
  <si>
    <t xml:space="preserve">Recommendation</t>
  </si>
  <si>
    <t xml:space="preserve">Mega Charizard X ex SAR (single)</t>
  </si>
  <si>
    <t xml:space="preserve">JP ≈ EN on chase singles. Buy JP only for early access.</t>
  </si>
  <si>
    <t xml:space="preserve">Modern booster box (typical)</t>
  </si>
  <si>
    <t xml:space="preserve">Slight JP discount; main value is 2-4 month early release.</t>
  </si>
  <si>
    <t xml:space="preserve">Vintage-era singles (PSA 7-8)</t>
  </si>
  <si>
    <t xml:space="preserve">JP often higher. Buy EN for vintage value plays.</t>
  </si>
  <si>
    <t xml:space="preserve">Magic — JP Parallels</t>
  </si>
  <si>
    <t xml:space="preserve">JP-language chase singles command a premium; sealed JP boxes run modestly cheaper at distribution.</t>
  </si>
  <si>
    <t xml:space="preserve">Modern Standard box (JP-language)</t>
  </si>
  <si>
    <t xml:space="preserve">JP sealed ~$20 cheaper at distribution. Coverage-neutral.</t>
  </si>
  <si>
    <t xml:space="preserve">Japanese Showcase / alt-art chase singles</t>
  </si>
  <si>
    <t xml:space="preserve">JP-language singles 1.5-3x premium. Buy EN for value; JP for collection.</t>
  </si>
  <si>
    <t xml:space="preserve">One Piece — JP Parallels</t>
  </si>
  <si>
    <t xml:space="preserve">EN typically trades 1.5-3x JP for the same card; JP is the value source for coverage.</t>
  </si>
  <si>
    <t xml:space="preserve">OP-16 Paramount War box</t>
  </si>
  <si>
    <t xml:space="preserve">JP much cheaper. Buy JP for coverage.</t>
  </si>
  <si>
    <t xml:space="preserve">OP-13 Carrying On His Will box</t>
  </si>
  <si>
    <t xml:space="preserve">JP dramatically cheaper than the EN chase box. Buy JP.</t>
  </si>
  <si>
    <t xml:space="preserve">Alternate Art chase singles</t>
  </si>
  <si>
    <t xml:space="preserve">JP AA often ≥ EN. Buy EN for these specific singles.</t>
  </si>
  <si>
    <t xml:space="preserve">Dragon Ball Fusion World — JP Parallels</t>
  </si>
  <si>
    <t xml:space="preserve">Strongest arbitrage in the market: JP boxes 40-60% below EN. Default to JP.</t>
  </si>
  <si>
    <t xml:space="preserve">FB05 New Adventure box</t>
  </si>
  <si>
    <t xml:space="preserve">Buy JP. ~29% savings.</t>
  </si>
  <si>
    <t xml:space="preserve">FB06 Looming Threat box</t>
  </si>
  <si>
    <t xml:space="preserve">Buy JP.</t>
  </si>
  <si>
    <t xml:space="preserve">FB07 Wish for Shenron box</t>
  </si>
  <si>
    <t xml:space="preserve">FB01 Awakened Pulse box</t>
  </si>
  <si>
    <t xml:space="preserve">Buy JP. ~46% savings on the foundation set.</t>
  </si>
  <si>
    <t xml:space="preserve">Digimon — JP Parallels</t>
  </si>
  <si>
    <t xml:space="preserve">Second-strongest arbitrage: JP ~$46-75 vs EN ~$90-140. Default to JP.</t>
  </si>
  <si>
    <t xml:space="preserve">BT-21 World Convergence box</t>
  </si>
  <si>
    <t xml:space="preserve">Buy JP. ~42% savings.</t>
  </si>
  <si>
    <t xml:space="preserve">BT-25 Dual Revolution box</t>
  </si>
  <si>
    <t xml:space="preserve">BT-01 V1.0 box</t>
  </si>
  <si>
    <t xml:space="preserve">Buy JP for coverage; EN V1.0 first print is the trophy.</t>
  </si>
  <si>
    <t xml:space="preserve">Weiss Schwarz — JP Parallels</t>
  </si>
  <si>
    <t xml:space="preserve">Direction REVERSES: JP often pricier due to authentic SP-signed pull rates. Buy EN unless completionist.</t>
  </si>
  <si>
    <t xml:space="preserve">Hololive Production Vol.1</t>
  </si>
  <si>
    <t xml:space="preserve">JP MORE expensive (SP signed). Buy EN.</t>
  </si>
  <si>
    <t xml:space="preserve">Demon Slayer</t>
  </si>
  <si>
    <t xml:space="preserve">JP higher (original SP signed). Buy EN unless completionist.</t>
  </si>
  <si>
    <t xml:space="preserve">Re:Zero</t>
  </si>
  <si>
    <t xml:space="preserve">JP higher. Buy EN.</t>
  </si>
  <si>
    <t xml:space="preserve">Union Arena — JP Parallels</t>
  </si>
  <si>
    <t xml:space="preserve">Direction REVERSES: EN is consistently cheaper. Buy EN.</t>
  </si>
  <si>
    <t xml:space="preserve">My Hero Academia</t>
  </si>
  <si>
    <t xml:space="preserve">EN MUCH cheaper. Buy EN.</t>
  </si>
  <si>
    <t xml:space="preserve">Jujutsu Kaisen</t>
  </si>
  <si>
    <t xml:space="preserve">EN cheaper. Buy EN.</t>
  </si>
  <si>
    <t xml:space="preserve">Demon Slayer Vol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</si>
</sst>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761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i val="true"/>
      <sz val="12"/>
      <color rgb="FF8B0000"/>
      <name val="Calibri"/>
      <family val="0"/>
      <charset val="1"/>
    </font>
    <font>
      <sz val="10"/>
      <name val="Calibri"/>
      <family val="0"/>
      <charset val="1"/>
    </font>
    <font>
      <b val="true"/>
      <sz val="16"/>
      <color rgb="FF1E276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8E6C9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6" customFormat="false" ht="15" hidden="false" customHeight="true" outlineLevel="0" collapsed="false">
      <c r="A6" s="4" t="s">
        <v>3</v>
      </c>
      <c r="B6" s="4"/>
      <c r="C6" s="4"/>
      <c r="D6" s="4"/>
      <c r="E6" s="4"/>
    </row>
    <row r="7" customFormat="false" ht="15" hidden="false" customHeight="false" outlineLevel="0" collapsed="false">
      <c r="A7" s="4"/>
      <c r="B7" s="4"/>
      <c r="C7" s="4"/>
      <c r="D7" s="4"/>
      <c r="E7" s="4"/>
    </row>
    <row r="8" customFormat="false" ht="15" hidden="false" customHeight="false" outlineLevel="0" collapsed="false">
      <c r="A8" s="4"/>
      <c r="B8" s="4"/>
      <c r="C8" s="4"/>
      <c r="D8" s="4"/>
      <c r="E8" s="4"/>
    </row>
    <row r="9" customFormat="false" ht="15" hidden="false" customHeight="false" outlineLevel="0" collapsed="false">
      <c r="A9" s="4"/>
      <c r="B9" s="4"/>
      <c r="C9" s="4"/>
      <c r="D9" s="4"/>
      <c r="E9" s="4"/>
    </row>
    <row r="10" customFormat="false" ht="15" hidden="false" customHeight="false" outlineLevel="0" collapsed="false">
      <c r="A10" s="4"/>
      <c r="B10" s="4"/>
      <c r="C10" s="4"/>
      <c r="D10" s="4"/>
      <c r="E10" s="4"/>
    </row>
    <row r="11" customFormat="false" ht="15" hidden="false" customHeight="false" outlineLevel="0" collapsed="false">
      <c r="A11" s="4"/>
      <c r="B11" s="4"/>
      <c r="C11" s="4"/>
      <c r="D11" s="4"/>
      <c r="E11" s="4"/>
    </row>
  </sheetData>
  <mergeCells count="3">
    <mergeCell ref="A1:E1"/>
    <mergeCell ref="A2:E2"/>
    <mergeCell ref="A6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5" t="s">
        <v>4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" t="s">
        <v>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customFormat="false" ht="15" hidden="false" customHeight="false" outlineLevel="0" collapsed="false">
      <c r="A5" s="7" t="s">
        <v>12</v>
      </c>
      <c r="B5" s="8" t="n">
        <v>473</v>
      </c>
      <c r="C5" s="8" t="n">
        <v>473</v>
      </c>
      <c r="D5" s="8" t="n">
        <f aca="false">IFERROR(B5-C5,"")</f>
        <v>0</v>
      </c>
      <c r="E5" s="9" t="n">
        <f aca="false">IFERROR((B5-C5)/B5,"")</f>
        <v>0</v>
      </c>
      <c r="F5" s="7" t="s">
        <v>13</v>
      </c>
    </row>
    <row r="6" customFormat="false" ht="15" hidden="false" customHeight="false" outlineLevel="0" collapsed="false">
      <c r="A6" s="7" t="s">
        <v>14</v>
      </c>
      <c r="B6" s="8" t="n">
        <v>160</v>
      </c>
      <c r="C6" s="8" t="n">
        <v>150</v>
      </c>
      <c r="D6" s="8" t="n">
        <f aca="false">IFERROR(B6-C6,"")</f>
        <v>10</v>
      </c>
      <c r="E6" s="9" t="n">
        <f aca="false">IFERROR((B6-C6)/B6,"")</f>
        <v>0.0625</v>
      </c>
      <c r="F6" s="7" t="s">
        <v>15</v>
      </c>
    </row>
    <row r="7" customFormat="false" ht="15" hidden="false" customHeight="false" outlineLevel="0" collapsed="false">
      <c r="A7" s="7" t="s">
        <v>16</v>
      </c>
      <c r="B7" s="8" t="n">
        <v>100</v>
      </c>
      <c r="C7" s="8" t="n">
        <v>120</v>
      </c>
      <c r="D7" s="8" t="n">
        <f aca="false">IFERROR(B7-C7,"")</f>
        <v>-20</v>
      </c>
      <c r="E7" s="9" t="n">
        <f aca="false">IFERROR((B7-C7)/B7,"")</f>
        <v>-0.2</v>
      </c>
      <c r="F7" s="7" t="s">
        <v>17</v>
      </c>
    </row>
  </sheetData>
  <mergeCells count="2">
    <mergeCell ref="A1:F1"/>
    <mergeCell ref="A2:F2"/>
  </mergeCells>
  <conditionalFormatting sqref="E5:E7">
    <cfRule type="expression" priority="2" aboveAverage="0" equalAverage="0" bottom="0" percent="0" rank="0" text="" dxfId="0">
      <formula>E5&gt;0.3</formula>
    </cfRule>
    <cfRule type="expression" priority="3" aboveAverage="0" equalAverage="0" bottom="0" percent="0" rank="0" text="" dxfId="1">
      <formula>E5&lt;0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5" t="s">
        <v>18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" t="s">
        <v>19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customFormat="false" ht="15" hidden="false" customHeight="false" outlineLevel="0" collapsed="false">
      <c r="A5" s="7" t="s">
        <v>20</v>
      </c>
      <c r="B5" s="8" t="n">
        <v>150</v>
      </c>
      <c r="C5" s="8" t="n">
        <v>130</v>
      </c>
      <c r="D5" s="8" t="n">
        <f aca="false">IFERROR(B5-C5,"")</f>
        <v>20</v>
      </c>
      <c r="E5" s="9" t="n">
        <f aca="false">IFERROR((B5-C5)/B5,"")</f>
        <v>0.133333333333333</v>
      </c>
      <c r="F5" s="7" t="s">
        <v>21</v>
      </c>
    </row>
    <row r="6" customFormat="false" ht="23.85" hidden="false" customHeight="false" outlineLevel="0" collapsed="false">
      <c r="A6" s="7" t="s">
        <v>22</v>
      </c>
      <c r="B6" s="8" t="n">
        <v>100</v>
      </c>
      <c r="C6" s="8" t="n">
        <v>200</v>
      </c>
      <c r="D6" s="8" t="n">
        <f aca="false">IFERROR(B6-C6,"")</f>
        <v>-100</v>
      </c>
      <c r="E6" s="9" t="n">
        <f aca="false">IFERROR((B6-C6)/B6,"")</f>
        <v>-1</v>
      </c>
      <c r="F6" s="7" t="s">
        <v>23</v>
      </c>
    </row>
  </sheetData>
  <mergeCells count="2">
    <mergeCell ref="A1:F1"/>
    <mergeCell ref="A2:F2"/>
  </mergeCells>
  <conditionalFormatting sqref="E5:E6">
    <cfRule type="expression" priority="2" aboveAverage="0" equalAverage="0" bottom="0" percent="0" rank="0" text="" dxfId="0">
      <formula>E5&gt;0.3</formula>
    </cfRule>
    <cfRule type="expression" priority="3" aboveAverage="0" equalAverage="0" bottom="0" percent="0" rank="0" text="" dxfId="1">
      <formula>E5&lt;0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5" t="s">
        <v>24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customFormat="false" ht="15" hidden="false" customHeight="false" outlineLevel="0" collapsed="false">
      <c r="A5" s="7" t="s">
        <v>26</v>
      </c>
      <c r="B5" s="8" t="n">
        <v>120</v>
      </c>
      <c r="C5" s="8" t="n">
        <v>70</v>
      </c>
      <c r="D5" s="8" t="n">
        <f aca="false">IFERROR(B5-C5,"")</f>
        <v>50</v>
      </c>
      <c r="E5" s="9" t="n">
        <f aca="false">IFERROR((B5-C5)/B5,"")</f>
        <v>0.416666666666667</v>
      </c>
      <c r="F5" s="7" t="s">
        <v>27</v>
      </c>
    </row>
    <row r="6" customFormat="false" ht="15" hidden="false" customHeight="false" outlineLevel="0" collapsed="false">
      <c r="A6" s="7" t="s">
        <v>28</v>
      </c>
      <c r="B6" s="8" t="n">
        <v>725</v>
      </c>
      <c r="C6" s="8" t="n">
        <v>250</v>
      </c>
      <c r="D6" s="8" t="n">
        <f aca="false">IFERROR(B6-C6,"")</f>
        <v>475</v>
      </c>
      <c r="E6" s="9" t="n">
        <f aca="false">IFERROR((B6-C6)/B6,"")</f>
        <v>0.655172413793103</v>
      </c>
      <c r="F6" s="7" t="s">
        <v>29</v>
      </c>
    </row>
    <row r="7" customFormat="false" ht="15" hidden="false" customHeight="false" outlineLevel="0" collapsed="false">
      <c r="A7" s="7" t="s">
        <v>30</v>
      </c>
      <c r="B7" s="8" t="n">
        <v>80</v>
      </c>
      <c r="C7" s="8" t="n">
        <v>85</v>
      </c>
      <c r="D7" s="8" t="n">
        <f aca="false">IFERROR(B7-C7,"")</f>
        <v>-5</v>
      </c>
      <c r="E7" s="9" t="n">
        <f aca="false">IFERROR((B7-C7)/B7,"")</f>
        <v>-0.0625</v>
      </c>
      <c r="F7" s="7" t="s">
        <v>31</v>
      </c>
    </row>
  </sheetData>
  <mergeCells count="2">
    <mergeCell ref="A1:F1"/>
    <mergeCell ref="A2:F2"/>
  </mergeCells>
  <conditionalFormatting sqref="E5:E7">
    <cfRule type="expression" priority="2" aboveAverage="0" equalAverage="0" bottom="0" percent="0" rank="0" text="" dxfId="0">
      <formula>E5&gt;0.3</formula>
    </cfRule>
    <cfRule type="expression" priority="3" aboveAverage="0" equalAverage="0" bottom="0" percent="0" rank="0" text="" dxfId="1">
      <formula>E5&lt;0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5" t="s">
        <v>32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" t="s">
        <v>33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customFormat="false" ht="15" hidden="false" customHeight="false" outlineLevel="0" collapsed="false">
      <c r="A5" s="7" t="s">
        <v>34</v>
      </c>
      <c r="B5" s="8" t="n">
        <v>96</v>
      </c>
      <c r="C5" s="8" t="n">
        <v>68</v>
      </c>
      <c r="D5" s="8" t="n">
        <f aca="false">IFERROR(B5-C5,"")</f>
        <v>28</v>
      </c>
      <c r="E5" s="9" t="n">
        <f aca="false">IFERROR((B5-C5)/B5,"")</f>
        <v>0.291666666666667</v>
      </c>
      <c r="F5" s="7" t="s">
        <v>35</v>
      </c>
    </row>
    <row r="6" customFormat="false" ht="15" hidden="false" customHeight="false" outlineLevel="0" collapsed="false">
      <c r="A6" s="7" t="s">
        <v>36</v>
      </c>
      <c r="B6" s="8" t="n">
        <v>96</v>
      </c>
      <c r="C6" s="8" t="n">
        <v>70</v>
      </c>
      <c r="D6" s="8" t="n">
        <f aca="false">IFERROR(B6-C6,"")</f>
        <v>26</v>
      </c>
      <c r="E6" s="9" t="n">
        <f aca="false">IFERROR((B6-C6)/B6,"")</f>
        <v>0.270833333333333</v>
      </c>
      <c r="F6" s="7" t="s">
        <v>37</v>
      </c>
    </row>
    <row r="7" customFormat="false" ht="15" hidden="false" customHeight="false" outlineLevel="0" collapsed="false">
      <c r="A7" s="7" t="s">
        <v>38</v>
      </c>
      <c r="B7" s="8" t="n">
        <v>96</v>
      </c>
      <c r="C7" s="8" t="n">
        <v>75</v>
      </c>
      <c r="D7" s="8" t="n">
        <f aca="false">IFERROR(B7-C7,"")</f>
        <v>21</v>
      </c>
      <c r="E7" s="9" t="n">
        <f aca="false">IFERROR((B7-C7)/B7,"")</f>
        <v>0.21875</v>
      </c>
      <c r="F7" s="7" t="s">
        <v>37</v>
      </c>
    </row>
    <row r="8" customFormat="false" ht="15" hidden="false" customHeight="false" outlineLevel="0" collapsed="false">
      <c r="A8" s="7" t="s">
        <v>39</v>
      </c>
      <c r="B8" s="8" t="n">
        <v>130</v>
      </c>
      <c r="C8" s="8" t="n">
        <v>70</v>
      </c>
      <c r="D8" s="8" t="n">
        <f aca="false">IFERROR(B8-C8,"")</f>
        <v>60</v>
      </c>
      <c r="E8" s="9" t="n">
        <f aca="false">IFERROR((B8-C8)/B8,"")</f>
        <v>0.461538461538462</v>
      </c>
      <c r="F8" s="7" t="s">
        <v>40</v>
      </c>
    </row>
  </sheetData>
  <mergeCells count="2">
    <mergeCell ref="A1:F1"/>
    <mergeCell ref="A2:F2"/>
  </mergeCells>
  <conditionalFormatting sqref="E5:E8">
    <cfRule type="expression" priority="2" aboveAverage="0" equalAverage="0" bottom="0" percent="0" rank="0" text="" dxfId="0">
      <formula>E5&gt;0.3</formula>
    </cfRule>
    <cfRule type="expression" priority="3" aboveAverage="0" equalAverage="0" bottom="0" percent="0" rank="0" text="" dxfId="1">
      <formula>E5&lt;0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5" t="s">
        <v>41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" t="s">
        <v>42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customFormat="false" ht="15" hidden="false" customHeight="false" outlineLevel="0" collapsed="false">
      <c r="A5" s="7" t="s">
        <v>43</v>
      </c>
      <c r="B5" s="8" t="n">
        <v>130</v>
      </c>
      <c r="C5" s="8" t="n">
        <v>75</v>
      </c>
      <c r="D5" s="8" t="n">
        <f aca="false">IFERROR(B5-C5,"")</f>
        <v>55</v>
      </c>
      <c r="E5" s="9" t="n">
        <f aca="false">IFERROR((B5-C5)/B5,"")</f>
        <v>0.423076923076923</v>
      </c>
      <c r="F5" s="7" t="s">
        <v>44</v>
      </c>
    </row>
    <row r="6" customFormat="false" ht="15" hidden="false" customHeight="false" outlineLevel="0" collapsed="false">
      <c r="A6" s="7" t="s">
        <v>45</v>
      </c>
      <c r="B6" s="8" t="n">
        <v>120</v>
      </c>
      <c r="C6" s="8" t="n">
        <v>70</v>
      </c>
      <c r="D6" s="8" t="n">
        <f aca="false">IFERROR(B6-C6,"")</f>
        <v>50</v>
      </c>
      <c r="E6" s="9" t="n">
        <f aca="false">IFERROR((B6-C6)/B6,"")</f>
        <v>0.416666666666667</v>
      </c>
      <c r="F6" s="7" t="s">
        <v>37</v>
      </c>
    </row>
    <row r="7" customFormat="false" ht="15" hidden="false" customHeight="false" outlineLevel="0" collapsed="false">
      <c r="A7" s="7" t="s">
        <v>46</v>
      </c>
      <c r="B7" s="8" t="n">
        <v>130</v>
      </c>
      <c r="C7" s="8" t="n">
        <v>70</v>
      </c>
      <c r="D7" s="8" t="n">
        <f aca="false">IFERROR(B7-C7,"")</f>
        <v>60</v>
      </c>
      <c r="E7" s="9" t="n">
        <f aca="false">IFERROR((B7-C7)/B7,"")</f>
        <v>0.461538461538462</v>
      </c>
      <c r="F7" s="7" t="s">
        <v>47</v>
      </c>
    </row>
  </sheetData>
  <mergeCells count="2">
    <mergeCell ref="A1:F1"/>
    <mergeCell ref="A2:F2"/>
  </mergeCells>
  <conditionalFormatting sqref="E5:E7">
    <cfRule type="expression" priority="2" aboveAverage="0" equalAverage="0" bottom="0" percent="0" rank="0" text="" dxfId="0">
      <formula>E5&gt;0.3</formula>
    </cfRule>
    <cfRule type="expression" priority="3" aboveAverage="0" equalAverage="0" bottom="0" percent="0" rank="0" text="" dxfId="1">
      <formula>E5&lt;0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5" t="s">
        <v>48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" t="s">
        <v>49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customFormat="false" ht="15" hidden="false" customHeight="false" outlineLevel="0" collapsed="false">
      <c r="A5" s="7" t="s">
        <v>50</v>
      </c>
      <c r="B5" s="8" t="n">
        <v>75</v>
      </c>
      <c r="C5" s="8" t="n">
        <v>118</v>
      </c>
      <c r="D5" s="8" t="n">
        <f aca="false">IFERROR(B5-C5,"")</f>
        <v>-43</v>
      </c>
      <c r="E5" s="9" t="n">
        <f aca="false">IFERROR((B5-C5)/B5,"")</f>
        <v>-0.573333333333333</v>
      </c>
      <c r="F5" s="7" t="s">
        <v>51</v>
      </c>
    </row>
    <row r="6" customFormat="false" ht="15" hidden="false" customHeight="false" outlineLevel="0" collapsed="false">
      <c r="A6" s="7" t="s">
        <v>52</v>
      </c>
      <c r="B6" s="8" t="n">
        <v>80</v>
      </c>
      <c r="C6" s="8" t="n">
        <v>110</v>
      </c>
      <c r="D6" s="8" t="n">
        <f aca="false">IFERROR(B6-C6,"")</f>
        <v>-30</v>
      </c>
      <c r="E6" s="9" t="n">
        <f aca="false">IFERROR((B6-C6)/B6,"")</f>
        <v>-0.375</v>
      </c>
      <c r="F6" s="7" t="s">
        <v>53</v>
      </c>
    </row>
    <row r="7" customFormat="false" ht="15" hidden="false" customHeight="false" outlineLevel="0" collapsed="false">
      <c r="A7" s="7" t="s">
        <v>54</v>
      </c>
      <c r="B7" s="8" t="n">
        <v>75</v>
      </c>
      <c r="C7" s="8" t="n">
        <v>100</v>
      </c>
      <c r="D7" s="8" t="n">
        <f aca="false">IFERROR(B7-C7,"")</f>
        <v>-25</v>
      </c>
      <c r="E7" s="9" t="n">
        <f aca="false">IFERROR((B7-C7)/B7,"")</f>
        <v>-0.333333333333333</v>
      </c>
      <c r="F7" s="7" t="s">
        <v>55</v>
      </c>
    </row>
  </sheetData>
  <mergeCells count="2">
    <mergeCell ref="A1:F1"/>
    <mergeCell ref="A2:F2"/>
  </mergeCells>
  <conditionalFormatting sqref="E5:E7">
    <cfRule type="expression" priority="2" aboveAverage="0" equalAverage="0" bottom="0" percent="0" rank="0" text="" dxfId="0">
      <formula>E5&gt;0.3</formula>
    </cfRule>
    <cfRule type="expression" priority="3" aboveAverage="0" equalAverage="0" bottom="0" percent="0" rank="0" text="" dxfId="1">
      <formula>E5&lt;0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5" t="s">
        <v>56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customFormat="false" ht="15" hidden="false" customHeight="false" outlineLevel="0" collapsed="false">
      <c r="A5" s="7" t="s">
        <v>58</v>
      </c>
      <c r="B5" s="8" t="n">
        <v>55</v>
      </c>
      <c r="C5" s="8" t="n">
        <v>120</v>
      </c>
      <c r="D5" s="8" t="n">
        <f aca="false">IFERROR(B5-C5,"")</f>
        <v>-65</v>
      </c>
      <c r="E5" s="9" t="n">
        <f aca="false">IFERROR((B5-C5)/B5,"")</f>
        <v>-1.18181818181818</v>
      </c>
      <c r="F5" s="7" t="s">
        <v>59</v>
      </c>
    </row>
    <row r="6" customFormat="false" ht="15" hidden="false" customHeight="false" outlineLevel="0" collapsed="false">
      <c r="A6" s="7" t="s">
        <v>60</v>
      </c>
      <c r="B6" s="8" t="n">
        <v>55</v>
      </c>
      <c r="C6" s="8" t="n">
        <v>95</v>
      </c>
      <c r="D6" s="8" t="n">
        <f aca="false">IFERROR(B6-C6,"")</f>
        <v>-40</v>
      </c>
      <c r="E6" s="9" t="n">
        <f aca="false">IFERROR((B6-C6)/B6,"")</f>
        <v>-0.727272727272727</v>
      </c>
      <c r="F6" s="7" t="s">
        <v>61</v>
      </c>
    </row>
    <row r="7" customFormat="false" ht="15" hidden="false" customHeight="false" outlineLevel="0" collapsed="false">
      <c r="A7" s="7" t="s">
        <v>62</v>
      </c>
      <c r="B7" s="8" t="n">
        <v>60</v>
      </c>
      <c r="C7" s="8" t="n">
        <v>95</v>
      </c>
      <c r="D7" s="8" t="n">
        <f aca="false">IFERROR(B7-C7,"")</f>
        <v>-35</v>
      </c>
      <c r="E7" s="9" t="n">
        <f aca="false">IFERROR((B7-C7)/B7,"")</f>
        <v>-0.583333333333333</v>
      </c>
      <c r="F7" s="7" t="s">
        <v>61</v>
      </c>
    </row>
  </sheetData>
  <mergeCells count="2">
    <mergeCell ref="A1:F1"/>
    <mergeCell ref="A2:F2"/>
  </mergeCells>
  <conditionalFormatting sqref="E5:E7">
    <cfRule type="expression" priority="2" aboveAverage="0" equalAverage="0" bottom="0" percent="0" rank="0" text="" dxfId="0">
      <formula>E5&gt;0.3</formula>
    </cfRule>
    <cfRule type="expression" priority="3" aboveAverage="0" equalAverage="0" bottom="0" percent="0" rank="0" text="" dxfId="1">
      <formula>E5&lt;0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2026-06-14T20:37:59Z</dcterms:created>
  <dc:creator>openpyxl</dc:creator>
  <dc:description/>
  <dc:language>en-US</dc:language>
  <cp:lastModifiedBy/>
  <dcterms:modified xsi:type="dcterms:W3CDTF">2026-06-14T20:37:59Z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