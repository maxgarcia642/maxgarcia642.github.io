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🚀 ROI Alt Platforms" sheetId="1" state="visible" r:id="rId3"/>
    <sheet name="💎 Rich Alt Platforms" sheetId="2" state="visible" r:id="rId4"/>
    <sheet name="📈 Stock Benchmark" sheetId="3" state="visible" r:id="rId5"/>
    <sheet name="⚡ Quick Comparison" sheetId="4" state="visible" r:id="rId6"/>
    <sheet name="🏡 Local NWA Alternatives" sheetId="5" state="visible" r:id="rId7"/>
    <sheet name="⚠️ Closed &amp; Avoid" sheetId="6" state="visible" r:id="rId8"/>
    <sheet name="💼 My Portfolio Tracker" sheetId="7" state="visible" r:id="rId9"/>
    <sheet name="ℹ️ Legend &amp; Schem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<sst xmlns="http://schemas.openxmlformats.org/spreadsheetml/2006/main" count="1118" uniqueCount="842">
  <si>
    <t xml:space="preserve">🚀  Top ROI Alt Platforms  |  Income · Yield · Tangible · Reasonable Liquidity  |  2026</t>
  </si>
  <si>
    <t xml:space="preserve">Ranked by REALIZED returns + payout reliability. Benchmark to beat: VOO 15.5% · QQQ 21.8% · SCHD 12.9% (10-yr ann., Oct 2025). Not financial advice.</t>
  </si>
  <si>
    <t xml:space="preserve">Rank</t>
  </si>
  <si>
    <t xml:space="preserve">Platform</t>
  </si>
  <si>
    <t xml:space="preserve">Asset Category</t>
  </si>
  <si>
    <t xml:space="preserve">Min
Investment</t>
  </si>
  <si>
    <t xml:space="preserve">Fees</t>
  </si>
  <si>
    <t xml:space="preserve">Accred.
Req?</t>
  </si>
  <si>
    <t xml:space="preserve">Liquidity</t>
  </si>
  <si>
    <t xml:space="preserve">Realized Return
(VERIFIED)</t>
  </si>
  <si>
    <t xml:space="preserve">Targeted /
Advertised</t>
  </si>
  <si>
    <t xml:space="preserve">Payout Reliability /
Review Sentiment</t>
  </si>
  <si>
    <t xml:space="preserve">AUM /
Track Record</t>
  </si>
  <si>
    <t xml:space="preserve">Physical
Ownership?</t>
  </si>
  <si>
    <t xml:space="preserve">Solvency /
Platform Risk</t>
  </si>
  <si>
    <t xml:space="preserve">vs. ETF
Verdict</t>
  </si>
  <si>
    <t xml:space="preserve">Local NWA Alternative</t>
  </si>
  <si>
    <t xml:space="preserve">Key Notes</t>
  </si>
  <si>
    <t xml:space="preserve">My $
Invested</t>
  </si>
  <si>
    <t xml:space="preserve">My Rating
(1–5 ⭐)</t>
  </si>
  <si>
    <t xml:space="preserve">Fundrise ⭐</t>
  </si>
  <si>
    <t xml:space="preserve">Real estate + private credit + venture</t>
  </si>
  <si>
    <t xml:space="preserve">$10</t>
  </si>
  <si>
    <t xml:space="preserve">1.0% all-in RE (0.85%+0.15%); Innovation Fund 1.85%; no carry</t>
  </si>
  <si>
    <t xml:space="preserve">All</t>
  </si>
  <si>
    <t xml:space="preserve">🔴 Quarterly, gated (Equity REIT redemptions suspended 10/1/25)</t>
  </si>
  <si>
    <t xml:space="preserve">~5.7% ann. 2018–25 net; 6.24% (2025), −7.45% (2023)</t>
  </si>
  <si>
    <t xml:space="preserve">Varies by fund</t>
  </si>
  <si>
    <t xml:space="preserve">Positive on UX; complaints on redemption gating + 2023 losses. Survived 2022–23 downturn</t>
  </si>
  <si>
    <t xml:space="preserve">Largest D2C RE platform in US</t>
  </si>
  <si>
    <t xml:space="preserve">No</t>
  </si>
  <si>
    <t xml:space="preserve">Moderate — gated redemptions, sub-eREIT merger 4/29/26</t>
  </si>
  <si>
    <t xml:space="preserve">Below all 3 ETFs lately</t>
  </si>
  <si>
    <t xml:space="preserve">Buy a Fayetteville/Bentonville rental; Walmart/JBHunt/Tyson job growth + leverage + depreciation</t>
  </si>
  <si>
    <t xml:space="preserve">YOUR FAVORITE. Justified 5+ yr core sleeve at ~5–10%. Income Fund 8.27% (2025) better than Flagship 1.33%</t>
  </si>
  <si>
    <t xml:space="preserve">Percent</t>
  </si>
  <si>
    <t xml:space="preserve">Private credit (short-term notes)</t>
  </si>
  <si>
    <t xml:space="preserve">$500</t>
  </si>
  <si>
    <t xml:space="preserve">~1–2%</t>
  </si>
  <si>
    <t xml:space="preserve">Accredited</t>
  </si>
  <si>
    <t xml:space="preserve">🟡 Short — avg 16.6 mo term</t>
  </si>
  <si>
    <t xml:space="preserve">~14.5% ann. on matured deals ($1.68B+ funded)</t>
  </si>
  <si>
    <t xml:space="preserve">~14–18%</t>
  </si>
  <si>
    <t xml:space="preserve">Strong w/ accredited yield investors; diversify across notes essential</t>
  </si>
  <si>
    <t xml:space="preserve">$1.68B+ funded; ~3% default</t>
  </si>
  <si>
    <t xml:space="preserve">Moderate — 1-in-33 deals miss a payment</t>
  </si>
  <si>
    <t xml:space="preserve">At/below VOO; below QQQ</t>
  </si>
  <si>
    <t xml:space="preserve">Make a secured loan to a local business you can diligence; or a local hard-money pool</t>
  </si>
  <si>
    <t xml:space="preserve">Highest realized income here. ~3.0–3.4% charge-off. Accredited gate is the catch</t>
  </si>
  <si>
    <t xml:space="preserve">Groundfloor</t>
  </si>
  <si>
    <t xml:space="preserve">Real estate debt (fix-and-flip, 1st lien)</t>
  </si>
  <si>
    <t xml:space="preserve">$100 ($1k Signature; $10 some)</t>
  </si>
  <si>
    <t xml:space="preserve">0.5–1% (baked in)</t>
  </si>
  <si>
    <t xml:space="preserve">🟡 Short — 30 days to 12 mo</t>
  </si>
  <si>
    <t xml:space="preserve">~10% ann. hist; 9.88% (2024); 100% on-time since 2018</t>
  </si>
  <si>
    <t xml:space="preserve">~10%</t>
  </si>
  <si>
    <t xml:space="preserve">Notes paid $8.4M interest in 2025; 2–4.7% default, ~6% recovery</t>
  </si>
  <si>
    <t xml:space="preserve">SEC-qualified for non-accredited RE debt</t>
  </si>
  <si>
    <t xml:space="preserve">⚠️ GOING CONCERN warning in FY2024 audit — keep small</t>
  </si>
  <si>
    <t xml:space="preserve">Below VOO; income-steady</t>
  </si>
  <si>
    <t xml:space="preserve">Lend to a local flipper you trust, secured by a first lien on the deed</t>
  </si>
  <si>
    <t xml:space="preserve">Strong income + low min + open to all. But the platform's balance sheet is the risk — don't over-allocate</t>
  </si>
  <si>
    <t xml:space="preserve">Arrived</t>
  </si>
  <si>
    <t xml:space="preserve">Fractional SFR rentals + private credit</t>
  </si>
  <si>
    <t xml:space="preserve">$100</t>
  </si>
  <si>
    <t xml:space="preserve">3.5–5% sourcing + ~0.6% AUM + PM</t>
  </si>
  <si>
    <t xml:space="preserve">🔴 5–7 yr; secondary launched late-2025 (sells at discount)</t>
  </si>
  <si>
    <t xml:space="preserve">~3.9–4.0% SFR div (2025); Credit Fund ~8.1–8.4%</t>
  </si>
  <si>
    <t xml:space="preserve">8–12%</t>
  </si>
  <si>
    <t xml:space="preserve">Trustpilot ~4.2/5; first sale +34.7% total was 1 cherry-picked home of 358</t>
  </si>
  <si>
    <t xml:space="preserve">Bezos-backed; 358+ homes</t>
  </si>
  <si>
    <t xml:space="preserve">Low–moderate</t>
  </si>
  <si>
    <t xml:space="preserve">Below ETFs on total return</t>
  </si>
  <si>
    <t xml:space="preserve">Buy one rental house in your metro, self-manage or hire a local PM — keep 100% of upside</t>
  </si>
  <si>
    <t xml:space="preserve">Real cash flow, low min. Don't extrapolate the one 34.7% sale</t>
  </si>
  <si>
    <t xml:space="preserve">Ark7</t>
  </si>
  <si>
    <t xml:space="preserve">Fractional rentals</t>
  </si>
  <si>
    <t xml:space="preserve">$20/share</t>
  </si>
  <si>
    <t xml:space="preserve">3% one-time sourcing + 8–15% PM; 0% AUM</t>
  </si>
  <si>
    <t xml:space="preserve">🟡 Secondary market after 12-mo hold</t>
  </si>
  <si>
    <t xml:space="preserve">~3.96% ann. div (Nov 2025); ~94.8% occupancy</t>
  </si>
  <si>
    <t xml:space="preserve">6–10%</t>
  </si>
  <si>
    <t xml:space="preserve">Trustpilot ~4.1/5; monthly distributions reliable</t>
  </si>
  <si>
    <t xml:space="preserve">Growing; ~4.2–4.4% yield</t>
  </si>
  <si>
    <t xml:space="preserve">Low</t>
  </si>
  <si>
    <t xml:space="preserve">Same as Arrived — local rental ownership</t>
  </si>
  <si>
    <t xml:space="preserve">Monthly income, lowest min, no AUM fee. Cleanest fractional-rental structure</t>
  </si>
  <si>
    <t xml:space="preserve">RealtyMogul</t>
  </si>
  <si>
    <t xml:space="preserve">Commercial RE (REITs + placements)</t>
  </si>
  <si>
    <t xml:space="preserve">$5,000 (REITs)</t>
  </si>
  <si>
    <t xml:space="preserve">1–1.5%</t>
  </si>
  <si>
    <t xml:space="preserve">REITs all; placements accredited</t>
  </si>
  <si>
    <t xml:space="preserve">🔴 Limited; ~5% annual repurchase cap, no true secondary</t>
  </si>
  <si>
    <t xml:space="preserve">Claims ~20.7% realized IRR across 228+ deals</t>
  </si>
  <si>
    <t xml:space="preserve">6–8% div</t>
  </si>
  <si>
    <t xml:space="preserve">Varies widely; one MogulREIT II investor NAV fell $10→$7.77</t>
  </si>
  <si>
    <t xml:space="preserve">$7B+ offered; acq. by Susquehanna affiliate 11/25</t>
  </si>
  <si>
    <t xml:space="preserve">Moderate — both retail REITs reportedly paused 4/26</t>
  </si>
  <si>
    <t xml:space="preserve">Mixed — claim high, reality varies</t>
  </si>
  <si>
    <t xml:space="preserve">Local commercial RE syndication; small retail strip or storage deal</t>
  </si>
  <si>
    <t xml:space="preserve">Long track record. Claimed IRR is aggregate/marketing; individual NAVs have fallen</t>
  </si>
  <si>
    <t xml:space="preserve">EquityMultiple</t>
  </si>
  <si>
    <t xml:space="preserve">Commercial RE (debt + equity)</t>
  </si>
  <si>
    <t xml:space="preserve">$5,000–$30,000</t>
  </si>
  <si>
    <t xml:space="preserve">Investor + sponsor fees</t>
  </si>
  <si>
    <t xml:space="preserve">🔴 1–10 yr</t>
  </si>
  <si>
    <t xml:space="preserve">One documented deal ~6.98% IRR</t>
  </si>
  <si>
    <t xml:space="preserve">6–18%</t>
  </si>
  <si>
    <t xml:space="preserve">Curated, institutional pedigree; mixed realized</t>
  </si>
  <si>
    <t xml:space="preserve">$0.5B+ deployed</t>
  </si>
  <si>
    <t xml:space="preserve">Moderate</t>
  </si>
  <si>
    <t xml:space="preserve">Mixed</t>
  </si>
  <si>
    <t xml:space="preserve">Same as RealtyMogul</t>
  </si>
  <si>
    <t xml:space="preserve">Institutional quality but accredited-only and illiquid</t>
  </si>
  <si>
    <t xml:space="preserve">FNRP</t>
  </si>
  <si>
    <t xml:space="preserve">Grocery-anchored commercial RE</t>
  </si>
  <si>
    <t xml:space="preserve">$50,000</t>
  </si>
  <si>
    <t xml:space="preserve">0.5–1.5% AMF</t>
  </si>
  <si>
    <t xml:space="preserve">🔴 3–7 yr, illiquid</t>
  </si>
  <si>
    <t xml:space="preserve">Not independently verified</t>
  </si>
  <si>
    <t xml:space="preserve">12–18% target; quarterly distributions</t>
  </si>
  <si>
    <t xml:space="preserve">Necessity-retail = some recession resistance</t>
  </si>
  <si>
    <t xml:space="preserve">Necessity-retail focus</t>
  </si>
  <si>
    <t xml:space="preserve">At/below VOO (target only)</t>
  </si>
  <si>
    <t xml:space="preserve">Invest in a local grocery/retail-anchored property partnership</t>
  </si>
  <si>
    <t xml:space="preserve">High min, accredited. Defensive tenant base is the appeal</t>
  </si>
  <si>
    <t xml:space="preserve">AcreTrader</t>
  </si>
  <si>
    <t xml:space="preserve">Farmland (LLC shares)</t>
  </si>
  <si>
    <t xml:space="preserve">~$8k–$15k+</t>
  </si>
  <si>
    <t xml:space="preserve">0.75% ann. + closing</t>
  </si>
  <si>
    <t xml:space="preserve">🔴 5–10+ yr</t>
  </si>
  <si>
    <t xml:space="preserve">Farmland asset class ~11–12%/yr hist, low vol</t>
  </si>
  <si>
    <t xml:space="preserve">7–9% total (3–5% cash yield)</t>
  </si>
  <si>
    <t xml:space="preserve">75+ realized distributions; $189M+ distributed</t>
  </si>
  <si>
    <t xml:space="preserve">$189M+ distributed</t>
  </si>
  <si>
    <t xml:space="preserve">Indirect (LLC owns land)</t>
  </si>
  <si>
    <t xml:space="preserve">At/below VOO; very illiquid</t>
  </si>
  <si>
    <t xml:space="preserve">STRONG in AR — buy local row-crop (rice/soy) or poultry land; lease for cash rent</t>
  </si>
  <si>
    <t xml:space="preserve">Tangible land + income + appreciation. Inflation hedge. Accredited gate</t>
  </si>
  <si>
    <t xml:space="preserve">FarmTogether</t>
  </si>
  <si>
    <t xml:space="preserve">Farmland</t>
  </si>
  <si>
    <t xml:space="preserve">$15,000 ($100k fund)</t>
  </si>
  <si>
    <t xml:space="preserve">~2% upfront + 1–2% AMF + NOI fee</t>
  </si>
  <si>
    <t xml:space="preserve">Farmland ~11–12%/yr hist</t>
  </si>
  <si>
    <t xml:space="preserve">6–13% (3–9% cash yield)</t>
  </si>
  <si>
    <t xml:space="preserve">$170M+ AUM</t>
  </si>
  <si>
    <t xml:space="preserve">Indirect</t>
  </si>
  <si>
    <t xml:space="preserve">Same as AcreTrader</t>
  </si>
  <si>
    <t xml:space="preserve">Comparable to AcreTrader; higher upfront fees</t>
  </si>
  <si>
    <t xml:space="preserve">Vinovest</t>
  </si>
  <si>
    <t xml:space="preserve">Fine wine + whiskey</t>
  </si>
  <si>
    <t xml:space="preserve">$1,000 ($2.5k+ tiers)</t>
  </si>
  <si>
    <t xml:space="preserve">2.25–2.85% ann.; 1.5% sell penalties</t>
  </si>
  <si>
    <t xml:space="preserve">🟡 2–4 wks to sell; 5–15 yr ideal</t>
  </si>
  <si>
    <t xml:space="preserve">Back-tested 12.4–16.6%; NOT verified user avg</t>
  </si>
  <si>
    <t xml:space="preserve">12.4% (mod) / 16.6% (aggr)</t>
  </si>
  <si>
    <t xml:space="preserve">Returned $27.5M capital; 1.7M+ bottles in custody</t>
  </si>
  <si>
    <t xml:space="preserve">1.7M+ bottles custody</t>
  </si>
  <si>
    <t xml:space="preserve">✅ YES — ship bottles/casks to drink</t>
  </si>
  <si>
    <t xml:space="preserve">Below QQQ; back-test only</t>
  </si>
  <si>
    <t xml:space="preserve">Buy from Altus/Wiederkehr AR wineries; build a cellar via a local fine-wine merchant</t>
  </si>
  <si>
    <t xml:space="preserve">PHYSICAL DELIVERY. Treat back-tested returns skeptically</t>
  </si>
  <si>
    <t xml:space="preserve">Vint</t>
  </si>
  <si>
    <t xml:space="preserve">Fine wine + spirits</t>
  </si>
  <si>
    <t xml:space="preserve">$25/share (historical)</t>
  </si>
  <si>
    <t xml:space="preserve">8–10% one-time sourcing; no AUM</t>
  </si>
  <si>
    <t xml:space="preserve">⚠️ Now accredited (ceased Reg A 12/23)</t>
  </si>
  <si>
    <t xml:space="preserve">🔴 3–7 yr, no secondary</t>
  </si>
  <si>
    <t xml:space="preserve">SEC-qualified track record</t>
  </si>
  <si>
    <t xml:space="preserve">Pivot to accredited-only is itself a warning on the retail wine model</t>
  </si>
  <si>
    <t xml:space="preserve">SEC-qualified (Reg A, ended)</t>
  </si>
  <si>
    <t xml:space="preserve">Below QQQ</t>
  </si>
  <si>
    <t xml:space="preserve">Same as Vinovest</t>
  </si>
  <si>
    <t xml:space="preserve">Went accredited-only Dec 2023 — cautionary signal for fractional wine</t>
  </si>
  <si>
    <t xml:space="preserve">Royalty Exchange</t>
  </si>
  <si>
    <t xml:space="preserve">Music royalties</t>
  </si>
  <si>
    <t xml:space="preserve">Deals &lt;$5,000; auction</t>
  </si>
  <si>
    <t xml:space="preserve">Varies; $4,997 All-Access waives some</t>
  </si>
  <si>
    <t xml:space="preserve">All (most deals)</t>
  </si>
  <si>
    <t xml:space="preserve">🟡 Secondary market; royalties paid quarterly</t>
  </si>
  <si>
    <t xml:space="preserve">~10.6% avg across 358 transactions (H2 2020)</t>
  </si>
  <si>
    <t xml:space="preserve">12%+ marketed</t>
  </si>
  <si>
    <t xml:space="preserve">One investor: $6,001 → $7,750 + $491 royalties (29.1% &lt;6mo)</t>
  </si>
  <si>
    <t xml:space="preserve">2,300+ deals; $190M+ volume</t>
  </si>
  <si>
    <t xml:space="preserve">At/below VOO; real income</t>
  </si>
  <si>
    <t xml:space="preserve">Fund/produce a local NWA musician for a royalty share; buy a local songwriter's catalog</t>
  </si>
  <si>
    <t xml:space="preserve">Ongoing income, no accreditation needed. Auction-based pricing</t>
  </si>
  <si>
    <t xml:space="preserve">ANote Music</t>
  </si>
  <si>
    <t xml:space="preserve">Music royalties (EU-based)</t>
  </si>
  <si>
    <t xml:space="preserve">Low; auction</t>
  </si>
  <si>
    <t xml:space="preserve">~2%</t>
  </si>
  <si>
    <t xml:space="preserve">🟡 Secondary market; royalties quarterly</t>
  </si>
  <si>
    <t xml:space="preserve">~8–12%</t>
  </si>
  <si>
    <t xml:space="preserve">Smaller/younger platform — higher platform risk</t>
  </si>
  <si>
    <t xml:space="preserve">Smaller EU platform</t>
  </si>
  <si>
    <t xml:space="preserve">⚠️ Verify current operation before funding</t>
  </si>
  <si>
    <t xml:space="preserve">At/below VOO</t>
  </si>
  <si>
    <t xml:space="preserve">Same as Royalty Exchange</t>
  </si>
  <si>
    <t xml:space="preserve">EUR-denominated (FX risk for USD). Confirm it's operating</t>
  </si>
  <si>
    <t xml:space="preserve">Honeycomb Credit</t>
  </si>
  <si>
    <t xml:space="preserve">Small-business lending (notes)</t>
  </si>
  <si>
    <t xml:space="preserve">Investor fee capped $10; issuers 6–8%</t>
  </si>
  <si>
    <t xml:space="preserve">All (Reg CF caps)</t>
  </si>
  <si>
    <t xml:space="preserve">🔴 Illiquid until note amortizes (2–5 yr)</t>
  </si>
  <si>
    <t xml:space="preserve">No platform-wide default rate published</t>
  </si>
  <si>
    <t xml:space="preserve">6–14%</t>
  </si>
  <si>
    <t xml:space="preserve">⚠️ Trustpilot ~2.8/5; reviews cite defaults, late/missing repayments</t>
  </si>
  <si>
    <t xml:space="preserve">Not BBB-accredited</t>
  </si>
  <si>
    <t xml:space="preserve">Moderate–high (investor complaints)</t>
  </si>
  <si>
    <t xml:space="preserve">Below VOO; high variance</t>
  </si>
  <si>
    <t xml:space="preserve">THIS IS THE LOCAL PLAY — lend directly to a vetted NWA brewery/restaurant/shop w/ a written note + collateral</t>
  </si>
  <si>
    <t xml:space="preserve">Borrower reviews good, investor reviews poor. Skip the platform, do it locally</t>
  </si>
  <si>
    <t xml:space="preserve">Harvest Returns</t>
  </si>
  <si>
    <t xml:space="preserve">Agriculture / farm lending</t>
  </si>
  <si>
    <t xml:space="preserve">$5,000 (most $10k–$25k)</t>
  </si>
  <si>
    <t xml:space="preserve">No direct investor fees (issuer pays)</t>
  </si>
  <si>
    <t xml:space="preserve">Mostly accredited (506c)</t>
  </si>
  <si>
    <t xml:space="preserve">🔴 Multi-year, illiquid</t>
  </si>
  <si>
    <t xml:space="preserve">Co-reported 9.8%/yr since 2019 (self-reported)</t>
  </si>
  <si>
    <t xml:space="preserve">~9.8%; livestock ~12.9%</t>
  </si>
  <si>
    <t xml:space="preserve">Minimal independent reviews</t>
  </si>
  <si>
    <t xml:space="preserve">$30–37M deployed</t>
  </si>
  <si>
    <t xml:space="preserve">At/below VOO (self-reported)</t>
  </si>
  <si>
    <t xml:space="preserve">Invest directly in a local AR farm/ranch or poultry contract grower</t>
  </si>
  <si>
    <t xml:space="preserve">Private Credit Fund II (Apr 2025). Returns not independently verified</t>
  </si>
  <si>
    <t xml:space="preserve">Constitution Lending</t>
  </si>
  <si>
    <t xml:space="preserve">Real estate debt / notes</t>
  </si>
  <si>
    <t xml:space="preserve">Varies</t>
  </si>
  <si>
    <t xml:space="preserve">Accredited-leaning</t>
  </si>
  <si>
    <t xml:space="preserve">🟡 Income-focused, 1st-lien notes</t>
  </si>
  <si>
    <t xml:space="preserve">~10–14%</t>
  </si>
  <si>
    <t xml:space="preserve">Smaller platform — thin public reviews</t>
  </si>
  <si>
    <t xml:space="preserve">Smaller platform</t>
  </si>
  <si>
    <t xml:space="preserve">⚠️ Verify operations + solvency</t>
  </si>
  <si>
    <t xml:space="preserve">Local first-lien private lending</t>
  </si>
  <si>
    <t xml:space="preserve">Confirm it's operating before funding</t>
  </si>
  <si>
    <t xml:space="preserve">EquityZen</t>
  </si>
  <si>
    <t xml:space="preserve">Pre-IPO secondaries</t>
  </si>
  <si>
    <t xml:space="preserve">$5,000–$10,000 (SPV)</t>
  </si>
  <si>
    <t xml:space="preserve">2.5% buyer (post-2026)</t>
  </si>
  <si>
    <t xml:space="preserve">🔴 Hold to IPO/acquisition (years)</t>
  </si>
  <si>
    <t xml:space="preserve">Marketed 74% aggregate is survivorship-biased</t>
  </si>
  <si>
    <t xml:space="preserve">Lottery-shaped</t>
  </si>
  <si>
    <t xml:space="preserve">Morgan Stanley-owned; 450+ companies</t>
  </si>
  <si>
    <t xml:space="preserve">450+ companies</t>
  </si>
  <si>
    <t xml:space="preserve">Low (institutional owner)</t>
  </si>
  <si>
    <t xml:space="preserve">Far below for typical investor</t>
  </si>
  <si>
    <t xml:space="preserve">Angel-invest in a local startup via a NWA angel group</t>
  </si>
  <si>
    <t xml:space="preserve">Marketed returns exclude failures. Lottery profile</t>
  </si>
  <si>
    <t xml:space="preserve">Forge Global</t>
  </si>
  <si>
    <t xml:space="preserve">$5k (funds) / $100k (direct)</t>
  </si>
  <si>
    <t xml:space="preserve">2–5%</t>
  </si>
  <si>
    <t xml:space="preserve">🔴 Hold to exit (years)</t>
  </si>
  <si>
    <t xml:space="preserve">Not disclosed per-investor</t>
  </si>
  <si>
    <t xml:space="preserve">Publicly traded (extra transparency)</t>
  </si>
  <si>
    <t xml:space="preserve">$12B+ secondary vol (2023)</t>
  </si>
  <si>
    <t xml:space="preserve">Same as EquityZen</t>
  </si>
  <si>
    <t xml:space="preserve">Public-company transparency is a plus; still lottery-shaped</t>
  </si>
  <si>
    <t xml:space="preserve">Hiive</t>
  </si>
  <si>
    <t xml:space="preserve">Pre-IPO marketplace</t>
  </si>
  <si>
    <t xml:space="preserve">~$25,000</t>
  </si>
  <si>
    <t xml:space="preserve">0% mgmt/carry on Hiive Funds; commissions</t>
  </si>
  <si>
    <t xml:space="preserve">Hiive50 +38.4% (2024) = MARKS not exits</t>
  </si>
  <si>
    <t xml:space="preserve">Best price transparency in pre-IPO</t>
  </si>
  <si>
    <t xml:space="preserve">ROFR exercise 18% (2024)</t>
  </si>
  <si>
    <t xml:space="preserve">Hiive50 is an index of valuations, not your realized exit</t>
  </si>
  <si>
    <t xml:space="preserve">StartEngine</t>
  </si>
  <si>
    <t xml:space="preserve">Equity crowdfunding</t>
  </si>
  <si>
    <t xml:space="preserve">~$100</t>
  </si>
  <si>
    <t xml:space="preserve">Issuer ~5.3%; secondary exists</t>
  </si>
  <si>
    <t xml:space="preserve">🔴 5–10 yr to any exit</t>
  </si>
  <si>
    <t xml:space="preserve">Most startups fail; realized retail poor</t>
  </si>
  <si>
    <t xml:space="preserve">2.1M+ users; secondary market</t>
  </si>
  <si>
    <t xml:space="preserve">2.1M+ users</t>
  </si>
  <si>
    <t xml:space="preserve">Local angel investing / community business equity</t>
  </si>
  <si>
    <t xml:space="preserve">Exits rare. StartEngine Private = accredited pre-IPO fund access</t>
  </si>
  <si>
    <t xml:space="preserve">Wefunder</t>
  </si>
  <si>
    <t xml:space="preserve">Equity crowdfunding (largest Reg CF)</t>
  </si>
  <si>
    <t xml:space="preserve">Issuer ~6.4%</t>
  </si>
  <si>
    <t xml:space="preserve">Lottery-shaped; mostly losses</t>
  </si>
  <si>
    <t xml:space="preserve">Raised $109M in 2025 (category leader)</t>
  </si>
  <si>
    <t xml:space="preserve">Category leader</t>
  </si>
  <si>
    <t xml:space="preserve">Same as StartEngine</t>
  </si>
  <si>
    <t xml:space="preserve">Largest Reg CF by volume. Outcomes still lottery-shaped</t>
  </si>
  <si>
    <t xml:space="preserve">Republic</t>
  </si>
  <si>
    <t xml:space="preserve">Equity crowdfunding (curated)</t>
  </si>
  <si>
    <t xml:space="preserve">$50–$100 (Autopilot $150/mo)</t>
  </si>
  <si>
    <t xml:space="preserve">Issuer ~7.3%</t>
  </si>
  <si>
    <t xml:space="preserve">Highest curation (~5% acceptance)</t>
  </si>
  <si>
    <t xml:space="preserve">Diversified into crypto/RE</t>
  </si>
  <si>
    <t xml:space="preserve">Most curated of the CF platforms. Still high-risk</t>
  </si>
  <si>
    <t xml:space="preserve">JM Bullion / Vaulted</t>
  </si>
  <si>
    <t xml:space="preserve">Precious metals (physical gold/silver)</t>
  </si>
  <si>
    <t xml:space="preserve">Low (Vaulted ~$10+ fractional)</t>
  </si>
  <si>
    <t xml:space="preserve">Vaulted ~1.8% txn + storage; JMB spread+ship</t>
  </si>
  <si>
    <t xml:space="preserve">🟢 Good — sellable, deliverable</t>
  </si>
  <si>
    <t xml:space="preserve">Tracks spot gold (~8% long-run; strong 2024–25)</t>
  </si>
  <si>
    <t xml:space="preserve">Spot (no income)</t>
  </si>
  <si>
    <t xml:space="preserve">Reliable physical delivery</t>
  </si>
  <si>
    <t xml:space="preserve">Physical metal</t>
  </si>
  <si>
    <t xml:space="preserve">✅ YES — take delivery</t>
  </si>
  <si>
    <t xml:space="preserve">Below ETFs on total return; hedge role</t>
  </si>
  <si>
    <t xml:space="preserve">Buy bullion/coins at a local NWA coin shop; store in home safe / safe-deposit box</t>
  </si>
  <si>
    <t xml:space="preserve">Inflation hedge, no income. Physical ownership = no platform risk</t>
  </si>
  <si>
    <t xml:space="preserve">Kalshi</t>
  </si>
  <si>
    <t xml:space="preserve">Prediction markets (NOT investing)</t>
  </si>
  <si>
    <t xml:space="preserve">~$1</t>
  </si>
  <si>
    <t xml:space="preserve">~0–2% per trade</t>
  </si>
  <si>
    <t xml:space="preserve">🟢 Instant (contract resolution)</t>
  </si>
  <si>
    <t xml:space="preserve">NEGATIVE expected value — most lose</t>
  </si>
  <si>
    <t xml:space="preserve">N/A</t>
  </si>
  <si>
    <t xml:space="preserve">Takers lose ~32% avg; &gt;70% of traders unprofitable (6mo, CNBC 5/26)</t>
  </si>
  <si>
    <t xml:space="preserve">CFTC-regulated; 19+ lawsuits pending</t>
  </si>
  <si>
    <t xml:space="preserve">⚠️ Legal status contested in several states</t>
  </si>
  <si>
    <t xml:space="preserve">Not investing — gambling</t>
  </si>
  <si>
    <t xml:space="preserve">Nothing — this is speculation, not investing</t>
  </si>
  <si>
    <t xml:space="preserve">EXCLUDE from any serious allocation. Listed only to flag it's not an investment</t>
  </si>
  <si>
    <t xml:space="preserve">Lofty</t>
  </si>
  <si>
    <t xml:space="preserve">Tokenized rentals (daily income)</t>
  </si>
  <si>
    <t xml:space="preserve">~$50</t>
  </si>
  <si>
    <t xml:space="preserve">~0% (blockchain)</t>
  </si>
  <si>
    <t xml:space="preserve">🟢 Daily token trading (tokens trade at discount)</t>
  </si>
  <si>
    <t xml:space="preserve">Claims ~18.1% realized IRR (unverified)</t>
  </si>
  <si>
    <t xml:space="preserve">8–10%</t>
  </si>
  <si>
    <t xml:space="preserve">Daily USDC rental income; tokens often below NAV</t>
  </si>
  <si>
    <t xml:space="preserve">Growing</t>
  </si>
  <si>
    <t xml:space="preserve">Indirect (token)</t>
  </si>
  <si>
    <t xml:space="preserve">Moderate (tokenized model)</t>
  </si>
  <si>
    <t xml:space="preserve">At/below VOO (claim)</t>
  </si>
  <si>
    <t xml:space="preserve">Local rental ownership</t>
  </si>
  <si>
    <t xml:space="preserve">Daily liquidity is unique. Verify claimed IRR; tokens trade at discounts</t>
  </si>
  <si>
    <t xml:space="preserve">RealT</t>
  </si>
  <si>
    <t xml:space="preserve">Tokenized rentals (Detroit-area)</t>
  </si>
  <si>
    <t xml:space="preserve">🟢 Daily (blockchain)</t>
  </si>
  <si>
    <t xml:space="preserve">Rental yields ~8–10%</t>
  </si>
  <si>
    <t xml:space="preserve">Weekly rental distributions on-chain</t>
  </si>
  <si>
    <t xml:space="preserve">Weekly on-chain rent. Concentrated in Detroit-area property</t>
  </si>
  <si>
    <t xml:space="preserve">Concreit</t>
  </si>
  <si>
    <t xml:space="preserve">Real estate debt fund</t>
  </si>
  <si>
    <t xml:space="preserve">$1</t>
  </si>
  <si>
    <t xml:space="preserve">~1% AUM</t>
  </si>
  <si>
    <t xml:space="preserve">🟡 Weekly redemptions (penalty if early)</t>
  </si>
  <si>
    <t xml:space="preserve">~5.5% target dividend</t>
  </si>
  <si>
    <t xml:space="preserve">~5.5%</t>
  </si>
  <si>
    <t xml:space="preserve">Weekly dividends; very low min</t>
  </si>
  <si>
    <t xml:space="preserve">Below ETFs</t>
  </si>
  <si>
    <t xml:space="preserve">Local first-lien lending</t>
  </si>
  <si>
    <t xml:space="preserve">$1 min + weekly liquidity is the draw; returns modest</t>
  </si>
  <si>
    <t xml:space="preserve">Streitwise</t>
  </si>
  <si>
    <t xml:space="preserve">Open REIT (commercial)</t>
  </si>
  <si>
    <t xml:space="preserve">~$5,000</t>
  </si>
  <si>
    <t xml:space="preserve">2% AMF</t>
  </si>
  <si>
    <t xml:space="preserve">🔴 Quarterly (1-yr min hold)</t>
  </si>
  <si>
    <t xml:space="preserve">~8% dividend history</t>
  </si>
  <si>
    <t xml:space="preserve">~8%</t>
  </si>
  <si>
    <t xml:space="preserve">Long dividend track record; concentrated portfolio</t>
  </si>
  <si>
    <t xml:space="preserve">~$80M AUM</t>
  </si>
  <si>
    <t xml:space="preserve">Local commercial RE partnership</t>
  </si>
  <si>
    <t xml:space="preserve">Open to all, ~8% dividend history. Small/concentrated</t>
  </si>
  <si>
    <t xml:space="preserve">CrowdStreet</t>
  </si>
  <si>
    <t xml:space="preserve">Commercial RE marketplace</t>
  </si>
  <si>
    <t xml:space="preserve">$25,000</t>
  </si>
  <si>
    <t xml:space="preserve">Sponsor fees vary</t>
  </si>
  <si>
    <t xml:space="preserve">🔴 3–7 yr</t>
  </si>
  <si>
    <t xml:space="preserve">Mixed; some sponsor failures (e.g., Nightingale fraud case)</t>
  </si>
  <si>
    <t xml:space="preserve">8–18% target</t>
  </si>
  <si>
    <t xml:space="preserve">Marketplace model — diligence the sponsor, not CrowdStreet</t>
  </si>
  <si>
    <t xml:space="preserve">$4B+ invested</t>
  </si>
  <si>
    <t xml:space="preserve">⚠️ Sponsor-level risk (past fraud case)</t>
  </si>
  <si>
    <t xml:space="preserve">Local commercial RE syndication</t>
  </si>
  <si>
    <t xml:space="preserve">You bear sponsor risk directly. Vet each deal independently</t>
  </si>
  <si>
    <t xml:space="preserve">💎  'Rich' Alt Platforms  |  Fractional Art · Collectibles · Luxury — Wait Years for an Exit  |  2026</t>
  </si>
  <si>
    <t xml:space="preserve">For investors deploying 5–6 figures across many shares. As a small investor you wait years for one exit while stocks compound daily. ALL inferior to ETFs for your situation.</t>
  </si>
  <si>
    <t xml:space="preserve">Masterworks</t>
  </si>
  <si>
    <t xml:space="preserve">Fine art (fractional)</t>
  </si>
  <si>
    <t xml:space="preserve">~$15k first / $500 returning (often waived)</t>
  </si>
  <si>
    <t xml:space="preserve">1.5% ann. (in equity) + 20% profit + acq. markup</t>
  </si>
  <si>
    <t xml:space="preserve">🔴 Hold until painting sells (3–10+ yr); secondary ~40¢ on $1</t>
  </si>
  <si>
    <t xml:space="preserve">+17.6 to +21.5% net on HELD-TO-SALE assets only</t>
  </si>
  <si>
    <t xml:space="preserve">Marketed high</t>
  </si>
  <si>
    <t xml:space="preserve">⚠️ Trustpilot heavy w/ complaints; BBB cites 6+ yr holds vs 3–5 promised</t>
  </si>
  <si>
    <t xml:space="preserve">23+ exits; $60M+ distributed</t>
  </si>
  <si>
    <t xml:space="preserve">Moderate — art mkt −25% from peak; portfolio −10%</t>
  </si>
  <si>
    <t xml:space="preserve">Below ETFs; many sit on losses</t>
  </si>
  <si>
    <t xml:space="preserve">Buy from local NWA artists, galleries, estate sales; Crystal Bridges anchors a real scene</t>
  </si>
  <si>
    <t xml:space="preserve">Category leader but illiquid + slow. Independent est. of art ~7–8%/yr, below stocks</t>
  </si>
  <si>
    <t xml:space="preserve">Rally</t>
  </si>
  <si>
    <t xml:space="preserve">Collectibles (cars, cards, watches, comics)</t>
  </si>
  <si>
    <t xml:space="preserve">$50</t>
  </si>
  <si>
    <t xml:space="preserve">No ongoing fees; undisclosed sourcing markup</t>
  </si>
  <si>
    <t xml:space="preserve">All (10% cap for non-accred)</t>
  </si>
  <si>
    <t xml:space="preserve">🟡 90-day trading windows; secondary via PPEX</t>
  </si>
  <si>
    <t xml:space="preserve">6.8% MEDIAN IRR, 1.20x median, 35-mo hold (111 SEC-verified exits)</t>
  </si>
  <si>
    <t xml:space="preserve">16% of exits LOSE money; many cards underwater; thin liquidity</t>
  </si>
  <si>
    <t xml:space="preserve">111 exits; SEC EDGAR-verified</t>
  </si>
  <si>
    <t xml:space="preserve">⚠️ GOING CONCERN qualification; parent −$10.3M deficit</t>
  </si>
  <si>
    <t xml:space="preserve">Below VOO; worst fit for small accounts</t>
  </si>
  <si>
    <t xml:space="preserve">Buy cards/collectibles at local card shops, estate sales, shows — control your buy price</t>
  </si>
  <si>
    <t xml:space="preserve">6.8% median underperformed VOO over the same era. Going-concern flag</t>
  </si>
  <si>
    <t xml:space="preserve">Bring a Trailer</t>
  </si>
  <si>
    <t xml:space="preserve">Collector cars (whole-asset auction)</t>
  </si>
  <si>
    <t xml:space="preserve">Full purchase price</t>
  </si>
  <si>
    <t xml:space="preserve">Buyer/seller auction fees</t>
  </si>
  <si>
    <t xml:space="preserve">🟡 Sell whole car at auction</t>
  </si>
  <si>
    <t xml:space="preserve">Classic cars +118% over 10 yr (Knight Frank); 2025 ~10% correction</t>
  </si>
  <si>
    <t xml:space="preserve">N/A (you own the car)</t>
  </si>
  <si>
    <t xml:space="preserve">Legitimate marketplace; Hearst-owned</t>
  </si>
  <si>
    <t xml:space="preserve">Hearst-owned</t>
  </si>
  <si>
    <t xml:space="preserve">✅ YES — own the car</t>
  </si>
  <si>
    <t xml:space="preserve">Low (real ownership)</t>
  </si>
  <si>
    <t xml:space="preserve">Mixed; capital-intensive</t>
  </si>
  <si>
    <t xml:space="preserve">Buy/flip a collectible car locally; NWA has active car-show + auction scenes</t>
  </si>
  <si>
    <t xml:space="preserve">NOT fractional — whole-asset. Real ownership but capital-heavy</t>
  </si>
  <si>
    <t xml:space="preserve">Timeless Investments</t>
  </si>
  <si>
    <t xml:space="preserve">Watches, cars, sneakers, art (Berlin)</t>
  </si>
  <si>
    <t xml:space="preserve">~€50/fraction</t>
  </si>
  <si>
    <t xml:space="preserve">All (EU-focused)</t>
  </si>
  <si>
    <t xml:space="preserve">🟡 In-app trading; 12–36 mo avg hold</t>
  </si>
  <si>
    <t xml:space="preserve">Cherry-picked: +200% Vacheron, +40% Yeezy — NOT portfolio avg</t>
  </si>
  <si>
    <t xml:space="preserve">No audited blended return; cross-border + FX risk for US</t>
  </si>
  <si>
    <t xml:space="preserve">EU platform</t>
  </si>
  <si>
    <t xml:space="preserve">Moderate–high (EU/FX/platform)</t>
  </si>
  <si>
    <t xml:space="preserve">Buy a real Rolex/Patek from a local authorized dealer — own and wear it</t>
  </si>
  <si>
    <t xml:space="preserve">Marketing shows winners only. No audited blended realized return</t>
  </si>
  <si>
    <t xml:space="preserve">MyArtBroker</t>
  </si>
  <si>
    <t xml:space="preserve">Art prints/editions (UK brokerage)</t>
  </si>
  <si>
    <t xml:space="preserve">Whole-asset (high)</t>
  </si>
  <si>
    <t xml:space="preserve">Brokerage fees</t>
  </si>
  <si>
    <t xml:space="preserve">🔴 Illiquid; whole-asset</t>
  </si>
  <si>
    <t xml:space="preserve">Whole-asset prints (Banksy/Warhol-type)</t>
  </si>
  <si>
    <t xml:space="preserve">Real ownership but high prices, illiquid</t>
  </si>
  <si>
    <t xml:space="preserve">UK brokerage</t>
  </si>
  <si>
    <t xml:space="preserve">✅ YES (whole works)</t>
  </si>
  <si>
    <t xml:space="preserve">Capital-intensive</t>
  </si>
  <si>
    <t xml:space="preserve">Local galleries / regional art fairs</t>
  </si>
  <si>
    <t xml:space="preserve">Not fractional. Accredited-scale capital needed</t>
  </si>
  <si>
    <t xml:space="preserve">Public.com (collectibles arm)</t>
  </si>
  <si>
    <t xml:space="preserve">Collectibles (absorbed Otis)</t>
  </si>
  <si>
    <t xml:space="preserve">~$10–$50</t>
  </si>
  <si>
    <t xml:space="preserve">~1% on alts</t>
  </si>
  <si>
    <t xml:space="preserve">🟡 Limited</t>
  </si>
  <si>
    <t xml:space="preserve">Largely wound down post-Otis acquisition</t>
  </si>
  <si>
    <t xml:space="preserve">Little success incorporating fractional alts</t>
  </si>
  <si>
    <t xml:space="preserve">Otis assets sold off</t>
  </si>
  <si>
    <t xml:space="preserve">⚠️ Collectibles arm largely DEFUNCT</t>
  </si>
  <si>
    <t xml:space="preserve">Local collectibles markets</t>
  </si>
  <si>
    <t xml:space="preserve">Acquired Otis (3/22 fire sale), since sold most assets. Not a serious ongoing collectibles play</t>
  </si>
  <si>
    <t xml:space="preserve">Slated</t>
  </si>
  <si>
    <t xml:space="preserve">Film financing / royalties</t>
  </si>
  <si>
    <t xml:space="preserve">~$1,000+</t>
  </si>
  <si>
    <t xml:space="preserve">10–15% share</t>
  </si>
  <si>
    <t xml:space="preserve">🔴 Project-based (production timeline)</t>
  </si>
  <si>
    <t xml:space="preserve">Highly variable, project-dependent, often poor for retail</t>
  </si>
  <si>
    <t xml:space="preserve">Project-based</t>
  </si>
  <si>
    <t xml:space="preserve">Niche; verify current operation</t>
  </si>
  <si>
    <t xml:space="preserve">Niche</t>
  </si>
  <si>
    <t xml:space="preserve">⚠️ Verify operation; high-risk</t>
  </si>
  <si>
    <t xml:space="preserve">Invest in / crowdfund a local film or creative project</t>
  </si>
  <si>
    <t xml:space="preserve">High variance, illiquid, niche</t>
  </si>
  <si>
    <t xml:space="preserve">Maecenas</t>
  </si>
  <si>
    <t xml:space="preserve">Blockchain fractional art</t>
  </si>
  <si>
    <t xml:space="preserve">~$500</t>
  </si>
  <si>
    <t xml:space="preserve">🟡 Token secondary</t>
  </si>
  <si>
    <t xml:space="preserve">Little current activity</t>
  </si>
  <si>
    <t xml:space="preserve">⚠️ Largely dormant/defunct</t>
  </si>
  <si>
    <t xml:space="preserve">Dormant</t>
  </si>
  <si>
    <t xml:space="preserve">⚠️ DEFUNCT — likely inoperative; verify before any contact</t>
  </si>
  <si>
    <t xml:space="preserve">Local art</t>
  </si>
  <si>
    <t xml:space="preserve">Early blockchain art project, little current activity</t>
  </si>
  <si>
    <t xml:space="preserve">Reflaunt</t>
  </si>
  <si>
    <t xml:space="preserve">Luxury fashion resale (B2B tech)</t>
  </si>
  <si>
    <t xml:space="preserve">N/A (not retail investment)</t>
  </si>
  <si>
    <t xml:space="preserve">Resale infrastructure for brands — not an investable platform</t>
  </si>
  <si>
    <t xml:space="preserve">Not a fractional-investment platform for individuals</t>
  </si>
  <si>
    <t xml:space="preserve">B2B resale tech</t>
  </si>
  <si>
    <t xml:space="preserve">N/A — not investable like the others</t>
  </si>
  <si>
    <t xml:space="preserve">Resell luxury goods via local consignment</t>
  </si>
  <si>
    <t xml:space="preserve">NOT an individual investment platform. Listed to correct the misconception</t>
  </si>
  <si>
    <t xml:space="preserve">📈  Stock-Market Benchmark  |  The Bar Every Alt Must Beat  |  2026</t>
  </si>
  <si>
    <t xml:space="preserve">Trailing returns as of Oct 22, 2025 (PortfoliosLab). Daily-liquid, ~0.03–0.06% fees. This is what your money would do in plain index funds.</t>
  </si>
  <si>
    <t xml:space="preserve">Ticker / Name</t>
  </si>
  <si>
    <t xml:space="preserve">Type</t>
  </si>
  <si>
    <t xml:space="preserve">Category</t>
  </si>
  <si>
    <t xml:space="preserve">Min</t>
  </si>
  <si>
    <t xml:space="preserve">Expense
Ratio</t>
  </si>
  <si>
    <t xml:space="preserve">10-Yr Ann.
Return</t>
  </si>
  <si>
    <t xml:space="preserve">5-Yr Ann.
Return</t>
  </si>
  <si>
    <t xml:space="preserve">2024
Return</t>
  </si>
  <si>
    <t xml:space="preserve">Income /
Yield</t>
  </si>
  <si>
    <t xml:space="preserve">VOO – Vanguard S&amp;P 500</t>
  </si>
  <si>
    <t xml:space="preserve">ETF</t>
  </si>
  <si>
    <t xml:space="preserve">Large-Cap US Equity</t>
  </si>
  <si>
    <t xml:space="preserve">0.03%</t>
  </si>
  <si>
    <t xml:space="preserve">🟢 Daily</t>
  </si>
  <si>
    <t xml:space="preserve">15.50%</t>
  </si>
  <si>
    <t xml:space="preserve">~15.7%</t>
  </si>
  <si>
    <t xml:space="preserve">~25.0%</t>
  </si>
  <si>
    <t xml:space="preserve">~1.2% div</t>
  </si>
  <si>
    <t xml:space="preserve">THE benchmark. Lowest-cost S&amp;P 500. Daily liquidity, near-zero fee</t>
  </si>
  <si>
    <t xml:space="preserve">QQQ – Invesco Nasdaq-100</t>
  </si>
  <si>
    <t xml:space="preserve">Tech-Heavy (Nasdaq-100)</t>
  </si>
  <si>
    <t xml:space="preserve">0.20%</t>
  </si>
  <si>
    <t xml:space="preserve">21.79%</t>
  </si>
  <si>
    <t xml:space="preserve">~21.3%</t>
  </si>
  <si>
    <t xml:space="preserve">~25.6%</t>
  </si>
  <si>
    <t xml:space="preserve">~0.6% div</t>
  </si>
  <si>
    <t xml:space="preserve">Highest 10-yr return here. Mag-7 concentration = more vol + reward</t>
  </si>
  <si>
    <t xml:space="preserve">SCHD – Schwab US Dividend</t>
  </si>
  <si>
    <t xml:space="preserve">Dividend Growth</t>
  </si>
  <si>
    <t xml:space="preserve">0.06%</t>
  </si>
  <si>
    <t xml:space="preserve">12.91%</t>
  </si>
  <si>
    <t xml:space="preserve">~10.0%</t>
  </si>
  <si>
    <t xml:space="preserve">~14.0%</t>
  </si>
  <si>
    <t xml:space="preserve">~3.5–4% div</t>
  </si>
  <si>
    <t xml:space="preserve">Income + growth, lower beta than QQQ. Top income-ETF pick</t>
  </si>
  <si>
    <t xml:space="preserve">VOO+QQQ+SCHD blend</t>
  </si>
  <si>
    <t xml:space="preserve">Blended 3-fund</t>
  </si>
  <si>
    <t xml:space="preserve">~0.10%</t>
  </si>
  <si>
    <t xml:space="preserve">15.22%</t>
  </si>
  <si>
    <t xml:space="preserve">~15.6%</t>
  </si>
  <si>
    <t xml:space="preserve">~21.6%</t>
  </si>
  <si>
    <t xml:space="preserve">~1.8% div</t>
  </si>
  <si>
    <t xml:space="preserve">A simple equal blend returned 15.22% ann. over 10 yr (PortfoliosLab)</t>
  </si>
  <si>
    <t xml:space="preserve">VTI – Vanguard Total Market</t>
  </si>
  <si>
    <t xml:space="preserve">Total US Market</t>
  </si>
  <si>
    <t xml:space="preserve">~12.9%</t>
  </si>
  <si>
    <t xml:space="preserve">~15.0%</t>
  </si>
  <si>
    <t xml:space="preserve">~23.8%</t>
  </si>
  <si>
    <t xml:space="preserve">~1.3% div</t>
  </si>
  <si>
    <t xml:space="preserve">Broadest US coverage incl. small/mid caps (~4,000 holdings)</t>
  </si>
  <si>
    <t xml:space="preserve">GLD – SPDR Gold Shares</t>
  </si>
  <si>
    <t xml:space="preserve">Gold (physical-backed)</t>
  </si>
  <si>
    <t xml:space="preserve">0.40%</t>
  </si>
  <si>
    <t xml:space="preserve">~9.5%</t>
  </si>
  <si>
    <t xml:space="preserve">~26.5%</t>
  </si>
  <si>
    <t xml:space="preserve">None</t>
  </si>
  <si>
    <t xml:space="preserve">Liquid gold exposure for comparison vs JM Bullion. No income</t>
  </si>
  <si>
    <t xml:space="preserve">VNQ – Vanguard Real Estate</t>
  </si>
  <si>
    <t xml:space="preserve">Public REITs</t>
  </si>
  <si>
    <t xml:space="preserve">0.12%</t>
  </si>
  <si>
    <t xml:space="preserve">~8.5%</t>
  </si>
  <si>
    <t xml:space="preserve">~7.0%</t>
  </si>
  <si>
    <t xml:space="preserve">~3.2%</t>
  </si>
  <si>
    <t xml:space="preserve">~4% div</t>
  </si>
  <si>
    <t xml:space="preserve">Liquid REIT benchmark vs all the fractional-RE platforms</t>
  </si>
  <si>
    <t xml:space="preserve">BND – Vanguard Total Bond</t>
  </si>
  <si>
    <t xml:space="preserve">US Aggregate Bonds</t>
  </si>
  <si>
    <t xml:space="preserve">~1.8%</t>
  </si>
  <si>
    <t xml:space="preserve">~0.1%</t>
  </si>
  <si>
    <t xml:space="preserve">~3.8%</t>
  </si>
  <si>
    <t xml:space="preserve">~4.5–5% yld</t>
  </si>
  <si>
    <t xml:space="preserve">Stabilizer. Yield ~4.5–5% in 2025 — compare vs private-credit alts</t>
  </si>
  <si>
    <t xml:space="preserve">⚡  Category-Level Reality Check: Alts vs. Stocks  |  2026</t>
  </si>
  <si>
    <t xml:space="preserve">Where your instinct is right, in one screen. Realized (not advertised) returns.</t>
  </si>
  <si>
    <t xml:space="preserve">Examples</t>
  </si>
  <si>
    <t xml:space="preserve">Typical REALIZED
Return</t>
  </si>
  <si>
    <t xml:space="preserve">Min Entry</t>
  </si>
  <si>
    <t xml:space="preserve">Accred?</t>
  </si>
  <si>
    <t xml:space="preserve">vs. VOO 15.5% / QQQ 21.8%</t>
  </si>
  <si>
    <t xml:space="preserve">📈 S&amp;P 500 / Nasdaq ETFs</t>
  </si>
  <si>
    <t xml:space="preserve">VOO / QQQ / SCHD</t>
  </si>
  <si>
    <t xml:space="preserve">12.9–21.8% (10-yr)</t>
  </si>
  <si>
    <t xml:space="preserve">— THE BENCHMARK —</t>
  </si>
  <si>
    <t xml:space="preserve">💳 Private credit</t>
  </si>
  <si>
    <t xml:space="preserve">~14.5% matured</t>
  </si>
  <si>
    <t xml:space="preserve">🟡 ~16 mo</t>
  </si>
  <si>
    <t xml:space="preserve">Yes</t>
  </si>
  <si>
    <t xml:space="preserve">At/below VOO; below QQQ; worse liquidity</t>
  </si>
  <si>
    <t xml:space="preserve">🏠 RE debt</t>
  </si>
  <si>
    <t xml:space="preserve">🟡 &lt;12 mo</t>
  </si>
  <si>
    <t xml:space="preserve">Below VOO; income-steady; solvency flag</t>
  </si>
  <si>
    <t xml:space="preserve">🎵 Music royalties</t>
  </si>
  <si>
    <t xml:space="preserve">~10–13%</t>
  </si>
  <si>
    <t xml:space="preserve">🟡 Quarterly+secondary</t>
  </si>
  <si>
    <t xml:space="preserve">&lt;$5k</t>
  </si>
  <si>
    <t xml:space="preserve">Below VOO; real income</t>
  </si>
  <si>
    <t xml:space="preserve">🌾 Farmland</t>
  </si>
  <si>
    <t xml:space="preserve">7–12% (asset class)</t>
  </si>
  <si>
    <t xml:space="preserve">~$10k</t>
  </si>
  <si>
    <t xml:space="preserve">Below VOO; very illiquid; inflation hedge</t>
  </si>
  <si>
    <t xml:space="preserve">🏢 Fundrise</t>
  </si>
  <si>
    <t xml:space="preserve">Fundrise</t>
  </si>
  <si>
    <t xml:space="preserve">~5–8% recent</t>
  </si>
  <si>
    <t xml:space="preserve">🔴 Quarterly (gated)</t>
  </si>
  <si>
    <t xml:space="preserve">🏡 Fractional rentals</t>
  </si>
  <si>
    <t xml:space="preserve">Arrived / Ark7</t>
  </si>
  <si>
    <t xml:space="preserve">~4% div + appreciation</t>
  </si>
  <si>
    <t xml:space="preserve">🔴 5–7 yr</t>
  </si>
  <si>
    <t xml:space="preserve">$20–$100</t>
  </si>
  <si>
    <t xml:space="preserve">🍷 Wine (deliverable)</t>
  </si>
  <si>
    <t xml:space="preserve">12–16% back-tested</t>
  </si>
  <si>
    <t xml:space="preserve">🟡 2–4 wks</t>
  </si>
  <si>
    <t xml:space="preserve">$1,000</t>
  </si>
  <si>
    <t xml:space="preserve">Below QQQ; back-test only; CAN drink it</t>
  </si>
  <si>
    <t xml:space="preserve">🥇 Gold (physical)</t>
  </si>
  <si>
    <t xml:space="preserve">~8% long-run</t>
  </si>
  <si>
    <t xml:space="preserve">🟢 Sellable</t>
  </si>
  <si>
    <t xml:space="preserve">Below ETFs; inflation hedge; hold it</t>
  </si>
  <si>
    <t xml:space="preserve">🚀 Equity crowdfunding</t>
  </si>
  <si>
    <t xml:space="preserve">Republic / Wefunder</t>
  </si>
  <si>
    <t xml:space="preserve">Lottery; mostly losses</t>
  </si>
  <si>
    <t xml:space="preserve">🔴 5–10 yr</t>
  </si>
  <si>
    <t xml:space="preserve">🏦 Pre-IPO</t>
  </si>
  <si>
    <t xml:space="preserve">Hiive / EquityZen / Forge</t>
  </si>
  <si>
    <t xml:space="preserve">🔴 Until exit</t>
  </si>
  <si>
    <t xml:space="preserve">$5k–$25k</t>
  </si>
  <si>
    <t xml:space="preserve">🎨 Fine art (fractional)</t>
  </si>
  <si>
    <t xml:space="preserve">~7–8% (art class)</t>
  </si>
  <si>
    <t xml:space="preserve">🔴 3–10+ yr</t>
  </si>
  <si>
    <t xml:space="preserve">$500+</t>
  </si>
  <si>
    <t xml:space="preserve">Below ETFs; many on losses</t>
  </si>
  <si>
    <t xml:space="preserve">🏎️ Collectibles (fractional)</t>
  </si>
  <si>
    <t xml:space="preserve">6.8% median IRR (SEC)</t>
  </si>
  <si>
    <t xml:space="preserve">🟡 Thin secondary</t>
  </si>
  <si>
    <t xml:space="preserve">Below VOO; WORST fit for small accounts</t>
  </si>
  <si>
    <t xml:space="preserve">🎲 Prediction markets</t>
  </si>
  <si>
    <t xml:space="preserve">Negative EV (most lose)</t>
  </si>
  <si>
    <t xml:space="preserve">🟢 Instant</t>
  </si>
  <si>
    <t xml:space="preserve">🏡  Do It Locally Instead  |  Northwest Arkansas Edition  |  2026</t>
  </si>
  <si>
    <t xml:space="preserve">You live in one of America's best small-business + RE growth corridors. Same dollars, local edge: control, transparency, tax benefits, no platform-solvency risk.</t>
  </si>
  <si>
    <t xml:space="preserve">Asset Class</t>
  </si>
  <si>
    <t xml:space="preserve">Platform Equivalent</t>
  </si>
  <si>
    <t xml:space="preserve">How to Do It Locally in NW Arkansas</t>
  </si>
  <si>
    <t xml:space="preserve">Why Local Often Wins</t>
  </si>
  <si>
    <t xml:space="preserve">Realistic Effort / Capital</t>
  </si>
  <si>
    <t xml:space="preserve">Residential RE</t>
  </si>
  <si>
    <t xml:space="preserve">Fundrise / Arrived / Ark7</t>
  </si>
  <si>
    <t xml:space="preserve">Buy a single rental house in Fayetteville, Bentonville, Rogers, or Springdale; self-manage or hire a local PM</t>
  </si>
  <si>
    <t xml:space="preserve">100% of appreciation + rent, leverage via mortgage, depreciation write-offs, you control it</t>
  </si>
  <si>
    <t xml:space="preserve">High capital ($40k+ down); active but powerful</t>
  </si>
  <si>
    <t xml:space="preserve">RE debt / lending</t>
  </si>
  <si>
    <t xml:space="preserve">Groundfloor / Constitution</t>
  </si>
  <si>
    <t xml:space="preserve">Lend to a local fix-and-flipper you trust, secured by a first lien on the property deed</t>
  </si>
  <si>
    <t xml:space="preserve">You set the rate + terms, real collateral, no platform balance-sheet risk</t>
  </si>
  <si>
    <t xml:space="preserve">Medium capital ($10k+); needs a trusted borrower</t>
  </si>
  <si>
    <t xml:space="preserve">AcreTrader / FarmTogether</t>
  </si>
  <si>
    <t xml:space="preserve">Buy local row-crop (rice, soybeans) or poultry/timber land; lease to a farmer for cash rent</t>
  </si>
  <si>
    <t xml:space="preserve">AR is farmland-rich; direct ownership + cash rent + appreciation, no 0.75% fee</t>
  </si>
  <si>
    <t xml:space="preserve">High capital; long horizon; very tangible</t>
  </si>
  <si>
    <t xml:space="preserve">Small business</t>
  </si>
  <si>
    <t xml:space="preserve">Honeycomb / Mainvest (closed)</t>
  </si>
  <si>
    <t xml:space="preserve">Make a direct revenue-share or secured note with a local brewery, restaurant, or shop you can visit</t>
  </si>
  <si>
    <t xml:space="preserve">You diligence in person, enforce terms, support your community directly</t>
  </si>
  <si>
    <t xml:space="preserve">Medium capital; high-touch; relationship-driven</t>
  </si>
  <si>
    <t xml:space="preserve">Startups / equity</t>
  </si>
  <si>
    <t xml:space="preserve">Republic / Wefunder / StartEngine</t>
  </si>
  <si>
    <t xml:space="preserve">Angel-invest through a NWA angel group or accelerator (e.g., Startup Junkie, Fuel)</t>
  </si>
  <si>
    <t xml:space="preserve">Local deal flow, board access, mentorship, you see the founders work</t>
  </si>
  <si>
    <t xml:space="preserve">High risk; $5k+ checks; long horizon</t>
  </si>
  <si>
    <t xml:space="preserve">Fine wine</t>
  </si>
  <si>
    <t xml:space="preserve">Vinovest / Vint</t>
  </si>
  <si>
    <t xml:space="preserve">Buy from Altus/Wiederkehr-region AR wineries; build a cellar via a local fine-wine merchant</t>
  </si>
  <si>
    <t xml:space="preserve">You own + can drink the bottles; support regional producers; no storage fee</t>
  </si>
  <si>
    <t xml:space="preserve">Low–medium capital; enjoyable; modest returns</t>
  </si>
  <si>
    <t xml:space="preserve">Art / collectibles</t>
  </si>
  <si>
    <t xml:space="preserve">Masterworks / Rally</t>
  </si>
  <si>
    <t xml:space="preserve">Buy from local artists, galleries, estate sales, and card shops; Crystal Bridges anchors the scene</t>
  </si>
  <si>
    <t xml:space="preserve">Own + enjoy the physical work, set your buy price, support local creators</t>
  </si>
  <si>
    <t xml:space="preserve">Variable capital; for enjoyment first, ROI second</t>
  </si>
  <si>
    <t xml:space="preserve">Precious metals</t>
  </si>
  <si>
    <t xml:space="preserve">Buy bullion/coins from a local NWA coin shop; store in a home safe or bank safe-deposit box</t>
  </si>
  <si>
    <t xml:space="preserve">Physical possession, no counterparty/platform risk, instant local liquidity</t>
  </si>
  <si>
    <t xml:space="preserve">Low–medium capital; simplest tangible hedge</t>
  </si>
  <si>
    <t xml:space="preserve">Royalty Exchange / ANote</t>
  </si>
  <si>
    <t xml:space="preserve">Fund or co-produce a local NWA musician for a royalty share; buy a local songwriter's catalog</t>
  </si>
  <si>
    <t xml:space="preserve">Direct relationship, ongoing income, support the regional music scene</t>
  </si>
  <si>
    <t xml:space="preserve">Low–medium capital; niche; relationship-driven</t>
  </si>
  <si>
    <t xml:space="preserve">Commercial RE</t>
  </si>
  <si>
    <t xml:space="preserve">RealtyMogul / FNRP / CrowdStreet</t>
  </si>
  <si>
    <t xml:space="preserve">Join a local commercial RE syndication (retail strip, storage, small multifamily) with operators you know</t>
  </si>
  <si>
    <t xml:space="preserve">Know your sponsor personally, local market knowledge, direct cash flow</t>
  </si>
  <si>
    <t xml:space="preserve">High capital; partnership-based</t>
  </si>
  <si>
    <t xml:space="preserve">⚠️  Closed, Defunct &amp; Solvency-Flagged  |  Verify Before You Ever Fund  |  2026</t>
  </si>
  <si>
    <t xml:space="preserve">Platform longevity is a real risk in alts. These have closed, restructured, or carry going-concern flags. Confirm 2026 solvency before sending money anywhere.</t>
  </si>
  <si>
    <t xml:space="preserve">Status</t>
  </si>
  <si>
    <t xml:space="preserve">What Happened</t>
  </si>
  <si>
    <t xml:space="preserve">Lesson</t>
  </si>
  <si>
    <t xml:space="preserve">Yieldstreet / Willow Wealth</t>
  </si>
  <si>
    <t xml:space="preserve">Multi-alt (RE/art/credit)</t>
  </si>
  <si>
    <t xml:space="preserve">🔴 SOLVENCY FLAG</t>
  </si>
  <si>
    <t xml:space="preserve">≥$208M investor losses, ~30% RE default rate vs 2–8% norm; removed a chart showing −2% annualized RE returns 2015–25 (CNBC, Dec 2025)</t>
  </si>
  <si>
    <t xml:space="preserve">Multi-alt 'one-stop shops' can hide concentrated losses. High minimums ≠ safety</t>
  </si>
  <si>
    <t xml:space="preserve">RE debt</t>
  </si>
  <si>
    <t xml:space="preserve">🟡 GOING CONCERN</t>
  </si>
  <si>
    <t xml:space="preserve">Disclosed substantial doubt about continuing as a going concern in FY2024 audit. Returns are fine; the balance sheet is the risk</t>
  </si>
  <si>
    <t xml:space="preserve">Good product can sit on a shaky platform. Keep allocations small</t>
  </si>
  <si>
    <t xml:space="preserve">Collectibles</t>
  </si>
  <si>
    <t xml:space="preserve">RSE Collection LLC FY2025 1-K carries going-concern qualification; parent RSE Markets −$10.3M accumulated deficit</t>
  </si>
  <si>
    <t xml:space="preserve">Even surviving collectibles platforms are financially fragile</t>
  </si>
  <si>
    <t xml:space="preserve">PeerStreet</t>
  </si>
  <si>
    <t xml:space="preserve">🔴 BANKRUPT (2023)</t>
  </si>
  <si>
    <t xml:space="preserve">Filed Chapter 11 in 2023; investors faced losses and frozen funds</t>
  </si>
  <si>
    <t xml:space="preserve">RE-debt platforms can fail in a downturn. Fundrise survived; this didn't</t>
  </si>
  <si>
    <t xml:space="preserve">Mainvest</t>
  </si>
  <si>
    <t xml:space="preserve">Small-business lending</t>
  </si>
  <si>
    <t xml:space="preserve">🔴 CLOSED (Jun 2024)</t>
  </si>
  <si>
    <t xml:space="preserve">Shut down amid the Synapse banking collapse; ~$2.4M of investor wallet funds frozen, recovery unresolved into 2025</t>
  </si>
  <si>
    <t xml:space="preserve">Fintech 'banking-as-a-service' plumbing is a hidden risk</t>
  </si>
  <si>
    <t xml:space="preserve">Collectable</t>
  </si>
  <si>
    <t xml:space="preserve">Sports cards</t>
  </si>
  <si>
    <t xml:space="preserve">🔴 SHUT DOWN</t>
  </si>
  <si>
    <t xml:space="preserve">Assets reportedly 'held hostage' after a buyout; called 'a black eye for the industry'</t>
  </si>
  <si>
    <t xml:space="preserve">Fractional sports-card platforms have a terrible survival record</t>
  </si>
  <si>
    <t xml:space="preserve">Otis Wealth</t>
  </si>
  <si>
    <t xml:space="preserve">🔴 ACQUIRED / GONE</t>
  </si>
  <si>
    <t xml:space="preserve">Acquired by Public.com (Mar 2022 'fire sale'); assets since sold off</t>
  </si>
  <si>
    <t xml:space="preserve">Acquisition ≠ good outcome for fractional investors</t>
  </si>
  <si>
    <t xml:space="preserve">Dibbs</t>
  </si>
  <si>
    <t xml:space="preserve">🔴 MARKETPLACE CLOSED</t>
  </si>
  <si>
    <t xml:space="preserve">Shut the consumer marketplace Mar 2023; pivoted to tokenization-as-a-service</t>
  </si>
  <si>
    <t xml:space="preserve">Liquidity vanished overnight for cardholders</t>
  </si>
  <si>
    <t xml:space="preserve">Mythic Markets</t>
  </si>
  <si>
    <t xml:space="preserve">Collectibles (pop culture)</t>
  </si>
  <si>
    <t xml:space="preserve">🔴 CLOSED (Jun 2021)</t>
  </si>
  <si>
    <t xml:space="preserve">Closed; assets auctioned via Heritage</t>
  </si>
  <si>
    <t xml:space="preserve">Niche collectibles platforms rarely last</t>
  </si>
  <si>
    <t xml:space="preserve">Acquicent</t>
  </si>
  <si>
    <t xml:space="preserve">Classic cars / art</t>
  </si>
  <si>
    <t xml:space="preserve">🔴 CEASED (Dec 2024)</t>
  </si>
  <si>
    <t xml:space="preserve">Ceased operations citing regulatory challenges</t>
  </si>
  <si>
    <t xml:space="preserve">Regulatory burden kills small fractional platforms</t>
  </si>
  <si>
    <t xml:space="preserve">Koia</t>
  </si>
  <si>
    <t xml:space="preserve">Shut down; pivoted to unrelated software</t>
  </si>
  <si>
    <t xml:space="preserve">Pivot = your assets are no longer the priority</t>
  </si>
  <si>
    <t xml:space="preserve">💼  My Personal Alt-Investment Tracker  |  2026</t>
  </si>
  <si>
    <t xml:space="preserve">Fill ONLY the yellow cells ($ Invested + Current Value). Gain/Loss and totals auto-calculate. Not financial advice.</t>
  </si>
  <si>
    <t xml:space="preserve">Platform / Ticker</t>
  </si>
  <si>
    <t xml:space="preserve">List</t>
  </si>
  <si>
    <t xml:space="preserve">Date
Invested</t>
  </si>
  <si>
    <t xml:space="preserve">$ Invested</t>
  </si>
  <si>
    <t xml:space="preserve">Current
Value</t>
  </si>
  <si>
    <t xml:space="preserve">Gain / Loss
($)</t>
  </si>
  <si>
    <t xml:space="preserve">Gain / Loss
(%)</t>
  </si>
  <si>
    <t xml:space="preserve">Notes / Link</t>
  </si>
  <si>
    <t xml:space="preserve">🚀 ROI</t>
  </si>
  <si>
    <t xml:space="preserve">Real estate + credit + venture</t>
  </si>
  <si>
    <t xml:space="preserve">fundrise.com | your core, 5+ yr</t>
  </si>
  <si>
    <t xml:space="preserve">Private credit</t>
  </si>
  <si>
    <t xml:space="preserve">percent.com | accredited</t>
  </si>
  <si>
    <t xml:space="preserve">groundfloor.us | going-concern flag, keep small</t>
  </si>
  <si>
    <t xml:space="preserve">arrived.com | $100 min</t>
  </si>
  <si>
    <t xml:space="preserve">🟡 12-mo hold</t>
  </si>
  <si>
    <t xml:space="preserve">ark7.com | monthly income</t>
  </si>
  <si>
    <t xml:space="preserve">acretrader.com | accredited</t>
  </si>
  <si>
    <t xml:space="preserve">🟡 Secondary</t>
  </si>
  <si>
    <t xml:space="preserve">royaltyexchange.com | income</t>
  </si>
  <si>
    <t xml:space="preserve">Wine + whiskey</t>
  </si>
  <si>
    <t xml:space="preserve">vinovest.co | CAN take delivery</t>
  </si>
  <si>
    <t xml:space="preserve">vaulted.com | physical gold</t>
  </si>
  <si>
    <t xml:space="preserve">VOO</t>
  </si>
  <si>
    <t xml:space="preserve">📈 ETF</t>
  </si>
  <si>
    <t xml:space="preserve">Vanguard S&amp;P 500 | 0.03%</t>
  </si>
  <si>
    <t xml:space="preserve">QQQ</t>
  </si>
  <si>
    <t xml:space="preserve">Tech (Nasdaq-100)</t>
  </si>
  <si>
    <t xml:space="preserve">Invesco Nasdaq-100 | 0.20%</t>
  </si>
  <si>
    <t xml:space="preserve">SCHD</t>
  </si>
  <si>
    <t xml:space="preserve">Schwab Dividend | 0.06%</t>
  </si>
  <si>
    <t xml:space="preserve">💎 Rich</t>
  </si>
  <si>
    <t xml:space="preserve">masterworks.com | wait for exit</t>
  </si>
  <si>
    <t xml:space="preserve">rallyrd.com | 6.8% median IRR</t>
  </si>
  <si>
    <t xml:space="preserve">TOTALS →</t>
  </si>
  <si>
    <t xml:space="preserve">ℹ️  Legend, Color Key &amp; Master Schema Guide</t>
  </si>
  <si>
    <t xml:space="preserve">Universal 18-column schema applied across the ROI and Rich tabs. Read this first.</t>
  </si>
  <si>
    <t xml:space="preserve">HOW THE TWO LISTS ARE SPLIT</t>
  </si>
  <si>
    <t xml:space="preserve">🚀 ROI Alt Platforms</t>
  </si>
  <si>
    <t xml:space="preserve">Income / yield / tangible alts whose realized returns can rival strong stocks. Where to focus.</t>
  </si>
  <si>
    <t xml:space="preserve">💎 Rich Alt Platforms</t>
  </si>
  <si>
    <t xml:space="preserve">Fractional art/collectibles/luxury — own a sliver, wait years for an exit. For large accounts only; inferior to ETFs for you.</t>
  </si>
  <si>
    <t xml:space="preserve">MASTER COLUMN SCHEMA (ROI &amp; Rich tabs)</t>
  </si>
  <si>
    <t xml:space="preserve">1 Rank</t>
  </si>
  <si>
    <t xml:space="preserve">Rank within the list (by realized return + payout reliability)</t>
  </si>
  <si>
    <t xml:space="preserve">2 Platform</t>
  </si>
  <si>
    <t xml:space="preserve">Platform name (⭐ = your favorite)</t>
  </si>
  <si>
    <t xml:space="preserve">3 Asset Category</t>
  </si>
  <si>
    <t xml:space="preserve">Underlying asset class</t>
  </si>
  <si>
    <t xml:space="preserve">4 Min Investment</t>
  </si>
  <si>
    <t xml:space="preserve">Minimum $ to start (2026)</t>
  </si>
  <si>
    <t xml:space="preserve">5 Fees</t>
  </si>
  <si>
    <t xml:space="preserve">Mgmt / performance / sourcing fees</t>
  </si>
  <si>
    <t xml:space="preserve">6 Accred. Req?</t>
  </si>
  <si>
    <t xml:space="preserve">All = open to everyone | Accredited = net worth &gt;$1M excl. home OR income &gt;$200k/yr</t>
  </si>
  <si>
    <t xml:space="preserve">7 Liquidity</t>
  </si>
  <si>
    <t xml:space="preserve">🟢 daily · 🟡 months/secondary · 🔴 multi-year lockup</t>
  </si>
  <si>
    <t xml:space="preserve">8 Realized Return (VERIFIED)</t>
  </si>
  <si>
    <t xml:space="preserve">Returns users ACTUALLY got, where verifiable. The number that matters</t>
  </si>
  <si>
    <t xml:space="preserve">9 Targeted / Advertised</t>
  </si>
  <si>
    <t xml:space="preserve">What the platform markets — treat with skepticism</t>
  </si>
  <si>
    <t xml:space="preserve">10 Payout Reliability / Sentiment</t>
  </si>
  <si>
    <t xml:space="preserve">Withdrawal reliability + real review sentiment (Trustpilot, Reddit, BBB, SEC filings)</t>
  </si>
  <si>
    <t xml:space="preserve">11 AUM / Track Record</t>
  </si>
  <si>
    <t xml:space="preserve">Platform size / realized-deal history</t>
  </si>
  <si>
    <t xml:space="preserve">12 Physical Ownership?</t>
  </si>
  <si>
    <t xml:space="preserve">Can you hold the actual asset? (wine, gold, cars = yes)</t>
  </si>
  <si>
    <t xml:space="preserve">13 Solvency / Platform Risk</t>
  </si>
  <si>
    <t xml:space="preserve">Closure / going-concern / balance-sheet risk</t>
  </si>
  <si>
    <t xml:space="preserve">14 vs. ETF Verdict</t>
  </si>
  <si>
    <t xml:space="preserve">Honest call vs VOO 15.5% / QQQ 21.8% / SCHD 12.9%</t>
  </si>
  <si>
    <t xml:space="preserve">15 Local NWA Alternative</t>
  </si>
  <si>
    <t xml:space="preserve">How to do the same thing locally in Northwest Arkansas</t>
  </si>
  <si>
    <t xml:space="preserve">16 Key Notes</t>
  </si>
  <si>
    <t xml:space="preserve">The one-line bottom line</t>
  </si>
  <si>
    <t xml:space="preserve">17 My $ Invested</t>
  </si>
  <si>
    <t xml:space="preserve">⚡ YOUR INPUT (yellow)</t>
  </si>
  <si>
    <t xml:space="preserve">18 My Rating (1–5 ⭐)</t>
  </si>
  <si>
    <t xml:space="preserve">LIQUIDITY ICONS</t>
  </si>
  <si>
    <t xml:space="preserve">🟢 Daily liquid</t>
  </si>
  <si>
    <t xml:space="preserve">ETFs / publicly traded — sell any market day</t>
  </si>
  <si>
    <t xml:space="preserve">🟡 Months / secondary</t>
  </si>
  <si>
    <t xml:space="preserve">Short note terms or a thin secondary market</t>
  </si>
  <si>
    <t xml:space="preserve">🔴 Multi-year lockup</t>
  </si>
  <si>
    <t xml:space="preserve">3–10 yr holds; limited or no early exit</t>
  </si>
  <si>
    <t xml:space="preserve">vs. ETF VERDICT COLORS</t>
  </si>
  <si>
    <t xml:space="preserve">Green</t>
  </si>
  <si>
    <t xml:space="preserve">Rivals or beats the ETF benchmark (rare)</t>
  </si>
  <si>
    <t xml:space="preserve">Amber</t>
  </si>
  <si>
    <t xml:space="preserve">At or below VOO — useful for income/diversification, not growth</t>
  </si>
  <si>
    <t xml:space="preserve">Red</t>
  </si>
  <si>
    <t xml:space="preserve">Far below / worst fit — stocks would very likely have done better</t>
  </si>
  <si>
    <t xml:space="preserve">ASSET-CLASS COLOR CODING</t>
  </si>
  <si>
    <t xml:space="preserve">Blue</t>
  </si>
  <si>
    <t xml:space="preserve">Real estate / REIT / RE debt</t>
  </si>
  <si>
    <t xml:space="preserve">Farmland / agriculture</t>
  </si>
  <si>
    <t xml:space="preserve">Purple</t>
  </si>
  <si>
    <t xml:space="preserve">Wine / spirits</t>
  </si>
  <si>
    <t xml:space="preserve">Orange</t>
  </si>
  <si>
    <t xml:space="preserve">Cream</t>
  </si>
  <si>
    <t xml:space="preserve">Private credit / lending</t>
  </si>
  <si>
    <t xml:space="preserve">Startups / equity crowdfunding / pre-IPO</t>
  </si>
  <si>
    <t xml:space="preserve">Light green</t>
  </si>
  <si>
    <t xml:space="preserve">Art / collectibles / luxury</t>
  </si>
  <si>
    <t xml:space="preserve">Gold</t>
  </si>
  <si>
    <t xml:space="preserve">Yellow (#FFFDE7)</t>
  </si>
  <si>
    <t xml:space="preserve">⚡ YOUR INPUT CELLS</t>
  </si>
  <si>
    <t xml:space="preserve">THE BOTTOM LINE</t>
  </si>
  <si>
    <t xml:space="preserve">Your instinct is right</t>
  </si>
  <si>
    <t xml:space="preserve">For appreciation-only assets with multi-year lockups (art, collectibles, watches, most crowdfunding), a low-cost ETF would very likely have left you wealthier with daily liquidity. Rally's SEC-verified 6.8% median IRR underperformed VOO over the same era.</t>
  </si>
  <si>
    <t xml:space="preserve">Where alts add value</t>
  </si>
  <si>
    <t xml:space="preserve">Non-correlated INCOME (private credit, RE debt, farmland rent, royalties) + tangible inflation hedges (farmland, gold, deliverable wine), as a 10–20% minority sleeve — not a core.</t>
  </si>
  <si>
    <t xml:space="preserve">The plan</t>
  </si>
  <si>
    <t xml:space="preserve">1) Keep ETFs as your core. 2) Right-size Fundrise (~5–10%, 5+ yr). 3) Optional income sleeve ≤10–15% (Groundfloor small, Arrived/Ark7, Royalty Exchange; add Percent + farmland if accredited). 4) Small tangible hedge ≤5% (Vinovest, gold). 5) Deploy locally in NWA where you have a real edge.</t>
  </si>
  <si>
    <t xml:space="preserve">Verify before funding</t>
  </si>
  <si>
    <t xml:space="preserve">Terms changed materially in 2025–26. Confirm minimums, fees, redemption status, and SOLVENCY directly with each platform. Not financial advice.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</si>
</sst>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C62828"/>
      <name val="Arial"/>
      <family val="0"/>
      <charset val="1"/>
    </font>
    <font>
      <sz val="9"/>
      <color rgb="FFE6510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9"/>
      <color rgb="FF1A2744"/>
      <name val="Arial"/>
      <family val="0"/>
      <charset val="1"/>
    </font>
    <font>
      <sz val="9"/>
      <color rgb="FF2E4A7A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A2744"/>
        <bgColor rgb="FF1A1A2E"/>
      </patternFill>
    </fill>
    <fill>
      <patternFill patternType="solid">
        <fgColor rgb="FFF5F7FA"/>
        <bgColor rgb="FFEAF2FB"/>
      </patternFill>
    </fill>
    <fill>
      <patternFill patternType="solid">
        <fgColor rgb="FF2E4A7A"/>
        <bgColor rgb="FF003366"/>
      </patternFill>
    </fill>
    <fill>
      <patternFill patternType="solid">
        <fgColor rgb="FFD0E8FF"/>
        <bgColor rgb="FFD6E4F0"/>
      </patternFill>
    </fill>
    <fill>
      <patternFill patternType="solid">
        <fgColor rgb="FFFFF9C4"/>
        <bgColor rgb="FFFFF3CD"/>
      </patternFill>
    </fill>
    <fill>
      <patternFill patternType="solid">
        <fgColor rgb="FFD4EDDA"/>
        <bgColor rgb="FFD6E4F0"/>
      </patternFill>
    </fill>
    <fill>
      <patternFill patternType="solid">
        <fgColor rgb="FFF3D9FF"/>
        <bgColor rgb="FFEDE7F6"/>
      </patternFill>
    </fill>
    <fill>
      <patternFill patternType="solid">
        <fgColor rgb="FFFFE8CC"/>
        <bgColor rgb="FFFFF3CD"/>
      </patternFill>
    </fill>
    <fill>
      <patternFill patternType="solid">
        <fgColor rgb="FFFFD6D6"/>
        <bgColor rgb="FFF8D7DA"/>
      </patternFill>
    </fill>
    <fill>
      <patternFill patternType="solid">
        <fgColor rgb="FFFFF8E1"/>
        <bgColor rgb="FFFFFDE7"/>
      </patternFill>
    </fill>
    <fill>
      <patternFill patternType="solid">
        <fgColor rgb="FFEDE7F6"/>
        <bgColor rgb="FFEAF2FB"/>
      </patternFill>
    </fill>
    <fill>
      <patternFill patternType="solid">
        <fgColor rgb="FFE8F5E9"/>
        <bgColor rgb="FFEAF2FB"/>
      </patternFill>
    </fill>
    <fill>
      <patternFill patternType="solid">
        <fgColor rgb="FFFFFDE7"/>
        <bgColor rgb="FFFFF8E1"/>
      </patternFill>
    </fill>
    <fill>
      <patternFill patternType="solid">
        <fgColor rgb="FFFFF3CD"/>
        <bgColor rgb="FFFFF9C4"/>
      </patternFill>
    </fill>
    <fill>
      <patternFill patternType="solid">
        <fgColor rgb="FFF8D7DA"/>
        <bgColor rgb="FFFFD6D6"/>
      </patternFill>
    </fill>
    <fill>
      <patternFill patternType="solid">
        <fgColor rgb="FFEAF2FB"/>
        <bgColor rgb="FFE8F5E9"/>
      </patternFill>
    </fill>
    <fill>
      <patternFill patternType="solid">
        <fgColor rgb="FFD6E4F0"/>
        <bgColor rgb="FFD0E8FF"/>
      </patternFill>
    </fill>
    <fill>
      <patternFill patternType="solid">
        <fgColor rgb="FFFFFFFF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9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8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EAF2FB"/>
      <rgbColor rgb="FF993366"/>
      <rgbColor rgb="FFFFF9C4"/>
      <rgbColor rgb="FFD0E8FF"/>
      <rgbColor rgb="FF660066"/>
      <rgbColor rgb="FFF5F7FA"/>
      <rgbColor rgb="FF0066CC"/>
      <rgbColor rgb="FFD6E4F0"/>
      <rgbColor rgb="FF000080"/>
      <rgbColor rgb="FFFF00FF"/>
      <rgbColor rgb="FFFFF8E1"/>
      <rgbColor rgb="FF00FFFF"/>
      <rgbColor rgb="FF800080"/>
      <rgbColor rgb="FF800000"/>
      <rgbColor rgb="FF008080"/>
      <rgbColor rgb="FF0000FF"/>
      <rgbColor rgb="FF00CCFF"/>
      <rgbColor rgb="FFE8F5E9"/>
      <rgbColor rgb="FFD4EDDA"/>
      <rgbColor rgb="FFFFF3CD"/>
      <rgbColor rgb="FFF3D9FF"/>
      <rgbColor rgb="FFF8D7DA"/>
      <rgbColor rgb="FFEDE7F6"/>
      <rgbColor rgb="FFFFD6D6"/>
      <rgbColor rgb="FF3366FF"/>
      <rgbColor rgb="FF33CCCC"/>
      <rgbColor rgb="FF99CC00"/>
      <rgbColor rgb="FFFFFDE7"/>
      <rgbColor rgb="FFFF9900"/>
      <rgbColor rgb="FFE65100"/>
      <rgbColor rgb="FF666699"/>
      <rgbColor rgb="FF999999"/>
      <rgbColor rgb="FF003366"/>
      <rgbColor rgb="FF339966"/>
      <rgbColor rgb="FF003300"/>
      <rgbColor rgb="FF1A1A2E"/>
      <rgbColor rgb="FFC62828"/>
      <rgbColor rgb="FF993366"/>
      <rgbColor rgb="FF2E4A7A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1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28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2"/>
    <col collapsed="false" customWidth="true" hidden="false" outlineLevel="0" max="15" min="15" style="0" width="34"/>
    <col collapsed="false" customWidth="true" hidden="false" outlineLevel="0" max="16" min="16" style="0" width="40"/>
    <col collapsed="false" customWidth="true" hidden="false" outlineLevel="0" max="18" min="17" style="0" width="1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 customFormat="false" ht="57.75" hidden="false" customHeight="true" outlineLevel="0" collapsed="false">
      <c r="A4" s="4" t="n">
        <v>1</v>
      </c>
      <c r="B4" s="5" t="s">
        <v>20</v>
      </c>
      <c r="C4" s="5" t="s">
        <v>21</v>
      </c>
      <c r="D4" s="4" t="s">
        <v>22</v>
      </c>
      <c r="E4" s="5" t="s">
        <v>23</v>
      </c>
      <c r="F4" s="4" t="s">
        <v>24</v>
      </c>
      <c r="G4" s="4" t="s">
        <v>25</v>
      </c>
      <c r="H4" s="6" t="s">
        <v>26</v>
      </c>
      <c r="I4" s="6" t="s">
        <v>27</v>
      </c>
      <c r="J4" s="5" t="s">
        <v>28</v>
      </c>
      <c r="K4" s="7" t="s">
        <v>29</v>
      </c>
      <c r="L4" s="4" t="s">
        <v>30</v>
      </c>
      <c r="M4" s="5" t="s">
        <v>31</v>
      </c>
      <c r="N4" s="8" t="s">
        <v>32</v>
      </c>
      <c r="O4" s="5" t="s">
        <v>33</v>
      </c>
      <c r="P4" s="5" t="s">
        <v>34</v>
      </c>
    </row>
    <row r="5" customFormat="false" ht="57.75" hidden="false" customHeight="true" outlineLevel="0" collapsed="false">
      <c r="A5" s="9" t="n">
        <v>2</v>
      </c>
      <c r="B5" s="10" t="s">
        <v>35</v>
      </c>
      <c r="C5" s="10" t="s">
        <v>36</v>
      </c>
      <c r="D5" s="9" t="s">
        <v>37</v>
      </c>
      <c r="E5" s="10" t="s">
        <v>38</v>
      </c>
      <c r="F5" s="9" t="s">
        <v>39</v>
      </c>
      <c r="G5" s="9" t="s">
        <v>40</v>
      </c>
      <c r="H5" s="11" t="s">
        <v>41</v>
      </c>
      <c r="I5" s="11" t="s">
        <v>42</v>
      </c>
      <c r="J5" s="10" t="s">
        <v>43</v>
      </c>
      <c r="K5" s="12" t="s">
        <v>44</v>
      </c>
      <c r="L5" s="9" t="s">
        <v>30</v>
      </c>
      <c r="M5" s="10" t="s">
        <v>45</v>
      </c>
      <c r="N5" s="13" t="s">
        <v>46</v>
      </c>
      <c r="O5" s="10" t="s">
        <v>47</v>
      </c>
      <c r="P5" s="10" t="s">
        <v>48</v>
      </c>
    </row>
    <row r="6" customFormat="false" ht="57.75" hidden="false" customHeight="true" outlineLevel="0" collapsed="false">
      <c r="A6" s="4" t="n">
        <v>3</v>
      </c>
      <c r="B6" s="5" t="s">
        <v>49</v>
      </c>
      <c r="C6" s="5" t="s">
        <v>50</v>
      </c>
      <c r="D6" s="4" t="s">
        <v>51</v>
      </c>
      <c r="E6" s="5" t="s">
        <v>52</v>
      </c>
      <c r="F6" s="4" t="s">
        <v>24</v>
      </c>
      <c r="G6" s="4" t="s">
        <v>53</v>
      </c>
      <c r="H6" s="6" t="s">
        <v>54</v>
      </c>
      <c r="I6" s="6" t="s">
        <v>55</v>
      </c>
      <c r="J6" s="5" t="s">
        <v>56</v>
      </c>
      <c r="K6" s="7" t="s">
        <v>57</v>
      </c>
      <c r="L6" s="4" t="s">
        <v>30</v>
      </c>
      <c r="M6" s="14" t="s">
        <v>58</v>
      </c>
      <c r="N6" s="15" t="s">
        <v>59</v>
      </c>
      <c r="O6" s="5" t="s">
        <v>60</v>
      </c>
      <c r="P6" s="5" t="s">
        <v>61</v>
      </c>
    </row>
    <row r="7" customFormat="false" ht="57.75" hidden="false" customHeight="true" outlineLevel="0" collapsed="false">
      <c r="A7" s="4" t="n">
        <v>4</v>
      </c>
      <c r="B7" s="5" t="s">
        <v>62</v>
      </c>
      <c r="C7" s="5" t="s">
        <v>63</v>
      </c>
      <c r="D7" s="4" t="s">
        <v>64</v>
      </c>
      <c r="E7" s="5" t="s">
        <v>65</v>
      </c>
      <c r="F7" s="4" t="s">
        <v>24</v>
      </c>
      <c r="G7" s="4" t="s">
        <v>66</v>
      </c>
      <c r="H7" s="6" t="s">
        <v>67</v>
      </c>
      <c r="I7" s="6" t="s">
        <v>68</v>
      </c>
      <c r="J7" s="5" t="s">
        <v>69</v>
      </c>
      <c r="K7" s="7" t="s">
        <v>70</v>
      </c>
      <c r="L7" s="4" t="s">
        <v>30</v>
      </c>
      <c r="M7" s="5" t="s">
        <v>71</v>
      </c>
      <c r="N7" s="4" t="s">
        <v>72</v>
      </c>
      <c r="O7" s="5" t="s">
        <v>73</v>
      </c>
      <c r="P7" s="5" t="s">
        <v>74</v>
      </c>
    </row>
    <row r="8" customFormat="false" ht="57.75" hidden="false" customHeight="true" outlineLevel="0" collapsed="false">
      <c r="A8" s="4" t="n">
        <v>5</v>
      </c>
      <c r="B8" s="5" t="s">
        <v>75</v>
      </c>
      <c r="C8" s="5" t="s">
        <v>76</v>
      </c>
      <c r="D8" s="4" t="s">
        <v>77</v>
      </c>
      <c r="E8" s="5" t="s">
        <v>78</v>
      </c>
      <c r="F8" s="4" t="s">
        <v>24</v>
      </c>
      <c r="G8" s="4" t="s">
        <v>79</v>
      </c>
      <c r="H8" s="6" t="s">
        <v>80</v>
      </c>
      <c r="I8" s="6" t="s">
        <v>81</v>
      </c>
      <c r="J8" s="5" t="s">
        <v>82</v>
      </c>
      <c r="K8" s="7" t="s">
        <v>83</v>
      </c>
      <c r="L8" s="4" t="s">
        <v>30</v>
      </c>
      <c r="M8" s="5" t="s">
        <v>84</v>
      </c>
      <c r="N8" s="4" t="s">
        <v>72</v>
      </c>
      <c r="O8" s="5" t="s">
        <v>85</v>
      </c>
      <c r="P8" s="5" t="s">
        <v>86</v>
      </c>
    </row>
    <row r="9" customFormat="false" ht="57.75" hidden="false" customHeight="true" outlineLevel="0" collapsed="false">
      <c r="A9" s="4" t="n">
        <v>6</v>
      </c>
      <c r="B9" s="5" t="s">
        <v>87</v>
      </c>
      <c r="C9" s="5" t="s">
        <v>88</v>
      </c>
      <c r="D9" s="4" t="s">
        <v>89</v>
      </c>
      <c r="E9" s="5" t="s">
        <v>90</v>
      </c>
      <c r="F9" s="4" t="s">
        <v>91</v>
      </c>
      <c r="G9" s="4" t="s">
        <v>92</v>
      </c>
      <c r="H9" s="6" t="s">
        <v>93</v>
      </c>
      <c r="I9" s="6" t="s">
        <v>94</v>
      </c>
      <c r="J9" s="5" t="s">
        <v>95</v>
      </c>
      <c r="K9" s="7" t="s">
        <v>96</v>
      </c>
      <c r="L9" s="4" t="s">
        <v>30</v>
      </c>
      <c r="M9" s="5" t="s">
        <v>97</v>
      </c>
      <c r="N9" s="15" t="s">
        <v>98</v>
      </c>
      <c r="O9" s="5" t="s">
        <v>99</v>
      </c>
      <c r="P9" s="5" t="s">
        <v>100</v>
      </c>
    </row>
    <row r="10" customFormat="false" ht="57.75" hidden="false" customHeight="true" outlineLevel="0" collapsed="false">
      <c r="A10" s="4" t="n">
        <v>7</v>
      </c>
      <c r="B10" s="5" t="s">
        <v>101</v>
      </c>
      <c r="C10" s="5" t="s">
        <v>102</v>
      </c>
      <c r="D10" s="4" t="s">
        <v>103</v>
      </c>
      <c r="E10" s="5" t="s">
        <v>104</v>
      </c>
      <c r="F10" s="4" t="s">
        <v>39</v>
      </c>
      <c r="G10" s="4" t="s">
        <v>105</v>
      </c>
      <c r="H10" s="6" t="s">
        <v>106</v>
      </c>
      <c r="I10" s="6" t="s">
        <v>107</v>
      </c>
      <c r="J10" s="5" t="s">
        <v>108</v>
      </c>
      <c r="K10" s="7" t="s">
        <v>109</v>
      </c>
      <c r="L10" s="4" t="s">
        <v>30</v>
      </c>
      <c r="M10" s="5" t="s">
        <v>110</v>
      </c>
      <c r="N10" s="15" t="s">
        <v>111</v>
      </c>
      <c r="O10" s="5" t="s">
        <v>112</v>
      </c>
      <c r="P10" s="5" t="s">
        <v>113</v>
      </c>
    </row>
    <row r="11" customFormat="false" ht="57.75" hidden="false" customHeight="true" outlineLevel="0" collapsed="false">
      <c r="A11" s="16" t="n">
        <v>8</v>
      </c>
      <c r="B11" s="17" t="s">
        <v>114</v>
      </c>
      <c r="C11" s="17" t="s">
        <v>115</v>
      </c>
      <c r="D11" s="16" t="s">
        <v>116</v>
      </c>
      <c r="E11" s="17" t="s">
        <v>117</v>
      </c>
      <c r="F11" s="16" t="s">
        <v>39</v>
      </c>
      <c r="G11" s="16" t="s">
        <v>118</v>
      </c>
      <c r="H11" s="18" t="s">
        <v>119</v>
      </c>
      <c r="I11" s="18" t="s">
        <v>120</v>
      </c>
      <c r="J11" s="17" t="s">
        <v>121</v>
      </c>
      <c r="K11" s="19" t="s">
        <v>122</v>
      </c>
      <c r="L11" s="16" t="s">
        <v>30</v>
      </c>
      <c r="M11" s="17" t="s">
        <v>110</v>
      </c>
      <c r="N11" s="20" t="s">
        <v>123</v>
      </c>
      <c r="O11" s="17" t="s">
        <v>124</v>
      </c>
      <c r="P11" s="17" t="s">
        <v>125</v>
      </c>
    </row>
    <row r="12" customFormat="false" ht="57.75" hidden="false" customHeight="true" outlineLevel="0" collapsed="false">
      <c r="A12" s="21" t="n">
        <v>9</v>
      </c>
      <c r="B12" s="22" t="s">
        <v>126</v>
      </c>
      <c r="C12" s="22" t="s">
        <v>127</v>
      </c>
      <c r="D12" s="21" t="s">
        <v>128</v>
      </c>
      <c r="E12" s="22" t="s">
        <v>129</v>
      </c>
      <c r="F12" s="21" t="s">
        <v>39</v>
      </c>
      <c r="G12" s="21" t="s">
        <v>130</v>
      </c>
      <c r="H12" s="23" t="s">
        <v>131</v>
      </c>
      <c r="I12" s="23" t="s">
        <v>132</v>
      </c>
      <c r="J12" s="22" t="s">
        <v>133</v>
      </c>
      <c r="K12" s="24" t="s">
        <v>134</v>
      </c>
      <c r="L12" s="21" t="s">
        <v>135</v>
      </c>
      <c r="M12" s="22" t="s">
        <v>84</v>
      </c>
      <c r="N12" s="25" t="s">
        <v>136</v>
      </c>
      <c r="O12" s="22" t="s">
        <v>137</v>
      </c>
      <c r="P12" s="22" t="s">
        <v>138</v>
      </c>
    </row>
    <row r="13" customFormat="false" ht="57.75" hidden="false" customHeight="true" outlineLevel="0" collapsed="false">
      <c r="A13" s="21" t="n">
        <v>10</v>
      </c>
      <c r="B13" s="22" t="s">
        <v>139</v>
      </c>
      <c r="C13" s="22" t="s">
        <v>140</v>
      </c>
      <c r="D13" s="21" t="s">
        <v>141</v>
      </c>
      <c r="E13" s="22" t="s">
        <v>142</v>
      </c>
      <c r="F13" s="21" t="s">
        <v>39</v>
      </c>
      <c r="G13" s="21" t="s">
        <v>130</v>
      </c>
      <c r="H13" s="23" t="s">
        <v>143</v>
      </c>
      <c r="I13" s="23" t="s">
        <v>144</v>
      </c>
      <c r="J13" s="22" t="s">
        <v>145</v>
      </c>
      <c r="K13" s="24" t="s">
        <v>145</v>
      </c>
      <c r="L13" s="21" t="s">
        <v>146</v>
      </c>
      <c r="M13" s="22" t="s">
        <v>84</v>
      </c>
      <c r="N13" s="25" t="s">
        <v>136</v>
      </c>
      <c r="O13" s="22" t="s">
        <v>147</v>
      </c>
      <c r="P13" s="22" t="s">
        <v>148</v>
      </c>
    </row>
    <row r="14" customFormat="false" ht="57.75" hidden="false" customHeight="true" outlineLevel="0" collapsed="false">
      <c r="A14" s="26" t="n">
        <v>11</v>
      </c>
      <c r="B14" s="27" t="s">
        <v>149</v>
      </c>
      <c r="C14" s="27" t="s">
        <v>150</v>
      </c>
      <c r="D14" s="26" t="s">
        <v>151</v>
      </c>
      <c r="E14" s="27" t="s">
        <v>152</v>
      </c>
      <c r="F14" s="26" t="s">
        <v>24</v>
      </c>
      <c r="G14" s="26" t="s">
        <v>153</v>
      </c>
      <c r="H14" s="28" t="s">
        <v>154</v>
      </c>
      <c r="I14" s="28" t="s">
        <v>155</v>
      </c>
      <c r="J14" s="27" t="s">
        <v>156</v>
      </c>
      <c r="K14" s="29" t="s">
        <v>157</v>
      </c>
      <c r="L14" s="26" t="s">
        <v>158</v>
      </c>
      <c r="M14" s="27" t="s">
        <v>159</v>
      </c>
      <c r="N14" s="26" t="s">
        <v>160</v>
      </c>
      <c r="O14" s="27" t="s">
        <v>161</v>
      </c>
    </row>
    <row r="15" customFormat="false" ht="57.75" hidden="false" customHeight="true" outlineLevel="0" collapsed="false">
      <c r="A15" s="26" t="n">
        <v>12</v>
      </c>
      <c r="B15" s="27" t="s">
        <v>162</v>
      </c>
      <c r="C15" s="27" t="s">
        <v>163</v>
      </c>
      <c r="D15" s="26" t="s">
        <v>164</v>
      </c>
      <c r="E15" s="27" t="s">
        <v>165</v>
      </c>
      <c r="F15" s="26" t="s">
        <v>166</v>
      </c>
      <c r="G15" s="26" t="s">
        <v>167</v>
      </c>
      <c r="H15" s="28" t="s">
        <v>168</v>
      </c>
      <c r="I15" s="28" t="s">
        <v>68</v>
      </c>
      <c r="J15" s="27" t="s">
        <v>169</v>
      </c>
      <c r="K15" s="29" t="s">
        <v>170</v>
      </c>
      <c r="L15" s="26" t="s">
        <v>146</v>
      </c>
      <c r="M15" s="27" t="s">
        <v>171</v>
      </c>
      <c r="N15" s="26" t="s">
        <v>172</v>
      </c>
      <c r="O15" s="27" t="s">
        <v>173</v>
      </c>
    </row>
    <row r="16" customFormat="false" ht="57.75" hidden="false" customHeight="true" outlineLevel="0" collapsed="false">
      <c r="A16" s="30" t="n">
        <v>13</v>
      </c>
      <c r="B16" s="31" t="s">
        <v>174</v>
      </c>
      <c r="C16" s="31" t="s">
        <v>175</v>
      </c>
      <c r="D16" s="30" t="s">
        <v>176</v>
      </c>
      <c r="E16" s="31" t="s">
        <v>177</v>
      </c>
      <c r="F16" s="30" t="s">
        <v>178</v>
      </c>
      <c r="G16" s="30" t="s">
        <v>179</v>
      </c>
      <c r="H16" s="32" t="s">
        <v>180</v>
      </c>
      <c r="I16" s="32" t="s">
        <v>181</v>
      </c>
      <c r="J16" s="31" t="s">
        <v>182</v>
      </c>
      <c r="K16" s="33" t="s">
        <v>183</v>
      </c>
      <c r="L16" s="30" t="s">
        <v>30</v>
      </c>
      <c r="M16" s="31" t="s">
        <v>71</v>
      </c>
      <c r="N16" s="34" t="s">
        <v>184</v>
      </c>
      <c r="O16" s="31" t="s">
        <v>185</v>
      </c>
      <c r="P16" s="31" t="s">
        <v>186</v>
      </c>
    </row>
    <row r="17" customFormat="false" ht="57.75" hidden="false" customHeight="true" outlineLevel="0" collapsed="false">
      <c r="A17" s="30" t="n">
        <v>14</v>
      </c>
      <c r="B17" s="31" t="s">
        <v>187</v>
      </c>
      <c r="C17" s="31" t="s">
        <v>188</v>
      </c>
      <c r="D17" s="30" t="s">
        <v>189</v>
      </c>
      <c r="E17" s="31" t="s">
        <v>190</v>
      </c>
      <c r="F17" s="30" t="s">
        <v>24</v>
      </c>
      <c r="G17" s="30" t="s">
        <v>191</v>
      </c>
      <c r="H17" s="32" t="s">
        <v>119</v>
      </c>
      <c r="I17" s="32" t="s">
        <v>192</v>
      </c>
      <c r="J17" s="31" t="s">
        <v>193</v>
      </c>
      <c r="K17" s="33" t="s">
        <v>194</v>
      </c>
      <c r="L17" s="30" t="s">
        <v>30</v>
      </c>
      <c r="M17" s="31" t="s">
        <v>195</v>
      </c>
      <c r="N17" s="34" t="s">
        <v>196</v>
      </c>
      <c r="O17" s="31" t="s">
        <v>197</v>
      </c>
      <c r="P17" s="31" t="s">
        <v>198</v>
      </c>
    </row>
    <row r="18" customFormat="false" ht="57.75" hidden="false" customHeight="true" outlineLevel="0" collapsed="false">
      <c r="A18" s="9" t="n">
        <v>15</v>
      </c>
      <c r="B18" s="10" t="s">
        <v>199</v>
      </c>
      <c r="C18" s="10" t="s">
        <v>200</v>
      </c>
      <c r="D18" s="9" t="s">
        <v>64</v>
      </c>
      <c r="E18" s="10" t="s">
        <v>201</v>
      </c>
      <c r="F18" s="9" t="s">
        <v>202</v>
      </c>
      <c r="G18" s="9" t="s">
        <v>203</v>
      </c>
      <c r="H18" s="11" t="s">
        <v>204</v>
      </c>
      <c r="I18" s="11" t="s">
        <v>205</v>
      </c>
      <c r="J18" s="10" t="s">
        <v>206</v>
      </c>
      <c r="K18" s="12" t="s">
        <v>207</v>
      </c>
      <c r="L18" s="9" t="s">
        <v>30</v>
      </c>
      <c r="M18" s="10" t="s">
        <v>208</v>
      </c>
      <c r="N18" s="13" t="s">
        <v>209</v>
      </c>
      <c r="O18" s="10" t="s">
        <v>210</v>
      </c>
      <c r="P18" s="10" t="s">
        <v>211</v>
      </c>
    </row>
    <row r="19" customFormat="false" ht="57.75" hidden="false" customHeight="true" outlineLevel="0" collapsed="false">
      <c r="A19" s="21" t="n">
        <v>16</v>
      </c>
      <c r="B19" s="22" t="s">
        <v>212</v>
      </c>
      <c r="C19" s="22" t="s">
        <v>213</v>
      </c>
      <c r="D19" s="21" t="s">
        <v>214</v>
      </c>
      <c r="E19" s="22" t="s">
        <v>215</v>
      </c>
      <c r="F19" s="21" t="s">
        <v>216</v>
      </c>
      <c r="G19" s="21" t="s">
        <v>217</v>
      </c>
      <c r="H19" s="23" t="s">
        <v>218</v>
      </c>
      <c r="I19" s="23" t="s">
        <v>219</v>
      </c>
      <c r="J19" s="22" t="s">
        <v>220</v>
      </c>
      <c r="K19" s="24" t="s">
        <v>221</v>
      </c>
      <c r="L19" s="21" t="s">
        <v>30</v>
      </c>
      <c r="M19" s="22" t="s">
        <v>110</v>
      </c>
      <c r="N19" s="25" t="s">
        <v>222</v>
      </c>
      <c r="O19" s="22" t="s">
        <v>223</v>
      </c>
      <c r="P19" s="22" t="s">
        <v>224</v>
      </c>
    </row>
    <row r="20" customFormat="false" ht="57.75" hidden="false" customHeight="true" outlineLevel="0" collapsed="false">
      <c r="A20" s="4" t="n">
        <v>17</v>
      </c>
      <c r="B20" s="5" t="s">
        <v>225</v>
      </c>
      <c r="C20" s="5" t="s">
        <v>226</v>
      </c>
      <c r="D20" s="4" t="s">
        <v>227</v>
      </c>
      <c r="E20" s="5" t="s">
        <v>227</v>
      </c>
      <c r="F20" s="4" t="s">
        <v>228</v>
      </c>
      <c r="G20" s="4" t="s">
        <v>229</v>
      </c>
      <c r="H20" s="6" t="s">
        <v>119</v>
      </c>
      <c r="I20" s="6" t="s">
        <v>230</v>
      </c>
      <c r="J20" s="5" t="s">
        <v>231</v>
      </c>
      <c r="K20" s="7" t="s">
        <v>232</v>
      </c>
      <c r="L20" s="4" t="s">
        <v>30</v>
      </c>
      <c r="M20" s="5" t="s">
        <v>233</v>
      </c>
      <c r="N20" s="15" t="s">
        <v>196</v>
      </c>
      <c r="O20" s="5" t="s">
        <v>234</v>
      </c>
      <c r="P20" s="5" t="s">
        <v>235</v>
      </c>
    </row>
    <row r="21" customFormat="false" ht="57.75" hidden="false" customHeight="true" outlineLevel="0" collapsed="false">
      <c r="A21" s="35" t="n">
        <v>18</v>
      </c>
      <c r="B21" s="36" t="s">
        <v>236</v>
      </c>
      <c r="C21" s="36" t="s">
        <v>237</v>
      </c>
      <c r="D21" s="35" t="s">
        <v>238</v>
      </c>
      <c r="E21" s="36" t="s">
        <v>239</v>
      </c>
      <c r="F21" s="35" t="s">
        <v>39</v>
      </c>
      <c r="G21" s="35" t="s">
        <v>240</v>
      </c>
      <c r="H21" s="37" t="s">
        <v>241</v>
      </c>
      <c r="I21" s="37" t="s">
        <v>242</v>
      </c>
      <c r="J21" s="36" t="s">
        <v>243</v>
      </c>
      <c r="K21" s="38" t="s">
        <v>244</v>
      </c>
      <c r="L21" s="35" t="s">
        <v>30</v>
      </c>
      <c r="M21" s="36" t="s">
        <v>245</v>
      </c>
      <c r="N21" s="39" t="s">
        <v>246</v>
      </c>
      <c r="O21" s="36" t="s">
        <v>247</v>
      </c>
      <c r="P21" s="36" t="s">
        <v>248</v>
      </c>
    </row>
    <row r="22" customFormat="false" ht="57.75" hidden="false" customHeight="true" outlineLevel="0" collapsed="false">
      <c r="A22" s="35" t="n">
        <v>19</v>
      </c>
      <c r="B22" s="36" t="s">
        <v>249</v>
      </c>
      <c r="C22" s="36" t="s">
        <v>237</v>
      </c>
      <c r="D22" s="35" t="s">
        <v>250</v>
      </c>
      <c r="E22" s="36" t="s">
        <v>251</v>
      </c>
      <c r="F22" s="35" t="s">
        <v>39</v>
      </c>
      <c r="G22" s="35" t="s">
        <v>252</v>
      </c>
      <c r="H22" s="37" t="s">
        <v>253</v>
      </c>
      <c r="I22" s="37" t="s">
        <v>242</v>
      </c>
      <c r="J22" s="36" t="s">
        <v>254</v>
      </c>
      <c r="K22" s="38" t="s">
        <v>255</v>
      </c>
      <c r="L22" s="35" t="s">
        <v>30</v>
      </c>
      <c r="M22" s="36" t="s">
        <v>84</v>
      </c>
      <c r="N22" s="39" t="s">
        <v>246</v>
      </c>
      <c r="O22" s="36" t="s">
        <v>256</v>
      </c>
      <c r="P22" s="36" t="s">
        <v>257</v>
      </c>
    </row>
    <row r="23" customFormat="false" ht="57.75" hidden="false" customHeight="true" outlineLevel="0" collapsed="false">
      <c r="A23" s="35" t="n">
        <v>20</v>
      </c>
      <c r="B23" s="36" t="s">
        <v>258</v>
      </c>
      <c r="C23" s="36" t="s">
        <v>259</v>
      </c>
      <c r="D23" s="35" t="s">
        <v>260</v>
      </c>
      <c r="E23" s="36" t="s">
        <v>261</v>
      </c>
      <c r="F23" s="35" t="s">
        <v>39</v>
      </c>
      <c r="G23" s="35" t="s">
        <v>252</v>
      </c>
      <c r="H23" s="37" t="s">
        <v>262</v>
      </c>
      <c r="I23" s="37" t="s">
        <v>242</v>
      </c>
      <c r="J23" s="36" t="s">
        <v>263</v>
      </c>
      <c r="K23" s="38" t="s">
        <v>264</v>
      </c>
      <c r="L23" s="35" t="s">
        <v>30</v>
      </c>
      <c r="M23" s="36" t="s">
        <v>84</v>
      </c>
      <c r="N23" s="39" t="s">
        <v>246</v>
      </c>
      <c r="O23" s="36" t="s">
        <v>256</v>
      </c>
      <c r="P23" s="36" t="s">
        <v>265</v>
      </c>
    </row>
    <row r="24" customFormat="false" ht="57.75" hidden="false" customHeight="true" outlineLevel="0" collapsed="false">
      <c r="A24" s="35" t="n">
        <v>21</v>
      </c>
      <c r="B24" s="36" t="s">
        <v>266</v>
      </c>
      <c r="C24" s="36" t="s">
        <v>267</v>
      </c>
      <c r="D24" s="35" t="s">
        <v>268</v>
      </c>
      <c r="E24" s="36" t="s">
        <v>269</v>
      </c>
      <c r="F24" s="35" t="s">
        <v>24</v>
      </c>
      <c r="G24" s="35" t="s">
        <v>270</v>
      </c>
      <c r="H24" s="37" t="s">
        <v>271</v>
      </c>
      <c r="I24" s="37" t="s">
        <v>242</v>
      </c>
      <c r="J24" s="36" t="s">
        <v>272</v>
      </c>
      <c r="K24" s="38" t="s">
        <v>273</v>
      </c>
      <c r="L24" s="35" t="s">
        <v>30</v>
      </c>
      <c r="M24" s="36" t="s">
        <v>84</v>
      </c>
      <c r="N24" s="39" t="s">
        <v>246</v>
      </c>
      <c r="O24" s="36" t="s">
        <v>274</v>
      </c>
      <c r="P24" s="36" t="s">
        <v>275</v>
      </c>
    </row>
    <row r="25" customFormat="false" ht="57.75" hidden="false" customHeight="true" outlineLevel="0" collapsed="false">
      <c r="A25" s="35" t="n">
        <v>22</v>
      </c>
      <c r="B25" s="36" t="s">
        <v>276</v>
      </c>
      <c r="C25" s="36" t="s">
        <v>277</v>
      </c>
      <c r="D25" s="35" t="s">
        <v>64</v>
      </c>
      <c r="E25" s="36" t="s">
        <v>278</v>
      </c>
      <c r="F25" s="35" t="s">
        <v>24</v>
      </c>
      <c r="G25" s="35" t="s">
        <v>270</v>
      </c>
      <c r="H25" s="37" t="s">
        <v>279</v>
      </c>
      <c r="I25" s="37" t="s">
        <v>242</v>
      </c>
      <c r="J25" s="36" t="s">
        <v>280</v>
      </c>
      <c r="K25" s="38" t="s">
        <v>281</v>
      </c>
      <c r="L25" s="35" t="s">
        <v>30</v>
      </c>
      <c r="M25" s="36" t="s">
        <v>84</v>
      </c>
      <c r="N25" s="39" t="s">
        <v>246</v>
      </c>
      <c r="O25" s="36" t="s">
        <v>282</v>
      </c>
      <c r="P25" s="36" t="s">
        <v>283</v>
      </c>
    </row>
    <row r="26" customFormat="false" ht="57.75" hidden="false" customHeight="true" outlineLevel="0" collapsed="false">
      <c r="A26" s="35" t="n">
        <v>23</v>
      </c>
      <c r="B26" s="36" t="s">
        <v>284</v>
      </c>
      <c r="C26" s="36" t="s">
        <v>285</v>
      </c>
      <c r="D26" s="35" t="s">
        <v>286</v>
      </c>
      <c r="E26" s="36" t="s">
        <v>287</v>
      </c>
      <c r="F26" s="35" t="s">
        <v>24</v>
      </c>
      <c r="G26" s="35" t="s">
        <v>270</v>
      </c>
      <c r="H26" s="37" t="s">
        <v>242</v>
      </c>
      <c r="I26" s="37" t="s">
        <v>242</v>
      </c>
      <c r="J26" s="36" t="s">
        <v>288</v>
      </c>
      <c r="K26" s="38" t="s">
        <v>289</v>
      </c>
      <c r="L26" s="35" t="s">
        <v>30</v>
      </c>
      <c r="M26" s="36" t="s">
        <v>84</v>
      </c>
      <c r="N26" s="39" t="s">
        <v>246</v>
      </c>
      <c r="O26" s="36" t="s">
        <v>282</v>
      </c>
      <c r="P26" s="36" t="s">
        <v>290</v>
      </c>
    </row>
    <row r="27" customFormat="false" ht="57.75" hidden="false" customHeight="true" outlineLevel="0" collapsed="false">
      <c r="A27" s="40" t="n">
        <v>24</v>
      </c>
      <c r="B27" s="41" t="s">
        <v>291</v>
      </c>
      <c r="C27" s="41" t="s">
        <v>292</v>
      </c>
      <c r="D27" s="40" t="s">
        <v>293</v>
      </c>
      <c r="E27" s="41" t="s">
        <v>294</v>
      </c>
      <c r="F27" s="40" t="s">
        <v>24</v>
      </c>
      <c r="G27" s="40" t="s">
        <v>295</v>
      </c>
      <c r="H27" s="42" t="s">
        <v>296</v>
      </c>
      <c r="I27" s="42" t="s">
        <v>297</v>
      </c>
      <c r="J27" s="41" t="s">
        <v>298</v>
      </c>
      <c r="K27" s="43" t="s">
        <v>299</v>
      </c>
      <c r="L27" s="40" t="s">
        <v>300</v>
      </c>
      <c r="M27" s="41" t="s">
        <v>301</v>
      </c>
      <c r="N27" s="40" t="s">
        <v>302</v>
      </c>
      <c r="O27" s="41" t="s">
        <v>303</v>
      </c>
    </row>
    <row r="28" customFormat="false" ht="57.75" hidden="false" customHeight="true" outlineLevel="0" collapsed="false">
      <c r="A28" s="44" t="n">
        <v>25</v>
      </c>
      <c r="B28" s="45" t="s">
        <v>304</v>
      </c>
      <c r="C28" s="45" t="s">
        <v>305</v>
      </c>
      <c r="D28" s="44" t="s">
        <v>306</v>
      </c>
      <c r="E28" s="45" t="s">
        <v>307</v>
      </c>
      <c r="F28" s="44" t="s">
        <v>24</v>
      </c>
      <c r="G28" s="44" t="s">
        <v>308</v>
      </c>
      <c r="H28" s="46" t="s">
        <v>309</v>
      </c>
      <c r="I28" s="46" t="s">
        <v>310</v>
      </c>
      <c r="J28" s="45" t="s">
        <v>311</v>
      </c>
      <c r="K28" s="47" t="s">
        <v>312</v>
      </c>
      <c r="L28" s="44" t="s">
        <v>30</v>
      </c>
      <c r="M28" s="45" t="s">
        <v>313</v>
      </c>
      <c r="N28" s="44" t="s">
        <v>314</v>
      </c>
      <c r="O28" s="45" t="s">
        <v>315</v>
      </c>
      <c r="P28" s="45" t="s">
        <v>316</v>
      </c>
    </row>
    <row r="29" customFormat="false" ht="57.75" hidden="false" customHeight="true" outlineLevel="0" collapsed="false">
      <c r="A29" s="4" t="n">
        <v>26</v>
      </c>
      <c r="B29" s="5" t="s">
        <v>317</v>
      </c>
      <c r="C29" s="5" t="s">
        <v>318</v>
      </c>
      <c r="D29" s="4" t="s">
        <v>319</v>
      </c>
      <c r="E29" s="5" t="s">
        <v>320</v>
      </c>
      <c r="F29" s="4" t="s">
        <v>24</v>
      </c>
      <c r="G29" s="4" t="s">
        <v>321</v>
      </c>
      <c r="H29" s="6" t="s">
        <v>322</v>
      </c>
      <c r="I29" s="6" t="s">
        <v>323</v>
      </c>
      <c r="J29" s="5" t="s">
        <v>324</v>
      </c>
      <c r="K29" s="7" t="s">
        <v>325</v>
      </c>
      <c r="L29" s="4" t="s">
        <v>326</v>
      </c>
      <c r="M29" s="5" t="s">
        <v>327</v>
      </c>
      <c r="N29" s="15" t="s">
        <v>328</v>
      </c>
      <c r="O29" s="5" t="s">
        <v>329</v>
      </c>
      <c r="P29" s="5" t="s">
        <v>330</v>
      </c>
    </row>
    <row r="30" customFormat="false" ht="57.75" hidden="false" customHeight="true" outlineLevel="0" collapsed="false">
      <c r="A30" s="4" t="n">
        <v>27</v>
      </c>
      <c r="B30" s="5" t="s">
        <v>331</v>
      </c>
      <c r="C30" s="5" t="s">
        <v>332</v>
      </c>
      <c r="D30" s="4" t="s">
        <v>319</v>
      </c>
      <c r="E30" s="5" t="s">
        <v>190</v>
      </c>
      <c r="F30" s="4" t="s">
        <v>24</v>
      </c>
      <c r="G30" s="4" t="s">
        <v>333</v>
      </c>
      <c r="H30" s="6" t="s">
        <v>334</v>
      </c>
      <c r="I30" s="6" t="s">
        <v>323</v>
      </c>
      <c r="J30" s="5" t="s">
        <v>335</v>
      </c>
      <c r="K30" s="7" t="s">
        <v>325</v>
      </c>
      <c r="L30" s="4" t="s">
        <v>326</v>
      </c>
      <c r="M30" s="5" t="s">
        <v>110</v>
      </c>
      <c r="N30" s="15" t="s">
        <v>196</v>
      </c>
      <c r="O30" s="5" t="s">
        <v>329</v>
      </c>
      <c r="P30" s="5" t="s">
        <v>336</v>
      </c>
    </row>
    <row r="31" customFormat="false" ht="57.75" hidden="false" customHeight="true" outlineLevel="0" collapsed="false">
      <c r="A31" s="4" t="n">
        <v>28</v>
      </c>
      <c r="B31" s="5" t="s">
        <v>337</v>
      </c>
      <c r="C31" s="5" t="s">
        <v>338</v>
      </c>
      <c r="D31" s="4" t="s">
        <v>339</v>
      </c>
      <c r="E31" s="5" t="s">
        <v>340</v>
      </c>
      <c r="F31" s="4" t="s">
        <v>24</v>
      </c>
      <c r="G31" s="4" t="s">
        <v>341</v>
      </c>
      <c r="H31" s="6" t="s">
        <v>342</v>
      </c>
      <c r="I31" s="6" t="s">
        <v>343</v>
      </c>
      <c r="J31" s="5" t="s">
        <v>344</v>
      </c>
      <c r="K31" s="7" t="s">
        <v>325</v>
      </c>
      <c r="L31" s="4" t="s">
        <v>30</v>
      </c>
      <c r="M31" s="5" t="s">
        <v>84</v>
      </c>
      <c r="N31" s="4" t="s">
        <v>345</v>
      </c>
      <c r="O31" s="5" t="s">
        <v>346</v>
      </c>
      <c r="P31" s="5" t="s">
        <v>347</v>
      </c>
    </row>
    <row r="32" customFormat="false" ht="57.75" hidden="false" customHeight="true" outlineLevel="0" collapsed="false">
      <c r="A32" s="4" t="n">
        <v>29</v>
      </c>
      <c r="B32" s="5" t="s">
        <v>348</v>
      </c>
      <c r="C32" s="5" t="s">
        <v>349</v>
      </c>
      <c r="D32" s="4" t="s">
        <v>350</v>
      </c>
      <c r="E32" s="5" t="s">
        <v>351</v>
      </c>
      <c r="F32" s="4" t="s">
        <v>24</v>
      </c>
      <c r="G32" s="4" t="s">
        <v>352</v>
      </c>
      <c r="H32" s="6" t="s">
        <v>353</v>
      </c>
      <c r="I32" s="6" t="s">
        <v>354</v>
      </c>
      <c r="J32" s="5" t="s">
        <v>355</v>
      </c>
      <c r="K32" s="7" t="s">
        <v>356</v>
      </c>
      <c r="L32" s="4" t="s">
        <v>30</v>
      </c>
      <c r="M32" s="5" t="s">
        <v>71</v>
      </c>
      <c r="N32" s="15" t="s">
        <v>59</v>
      </c>
      <c r="O32" s="5" t="s">
        <v>357</v>
      </c>
      <c r="P32" s="5" t="s">
        <v>358</v>
      </c>
    </row>
    <row r="33" customFormat="false" ht="57.75" hidden="false" customHeight="true" outlineLevel="0" collapsed="false">
      <c r="A33" s="16" t="n">
        <v>30</v>
      </c>
      <c r="B33" s="17" t="s">
        <v>359</v>
      </c>
      <c r="C33" s="17" t="s">
        <v>360</v>
      </c>
      <c r="D33" s="16" t="s">
        <v>361</v>
      </c>
      <c r="E33" s="17" t="s">
        <v>362</v>
      </c>
      <c r="F33" s="16" t="s">
        <v>39</v>
      </c>
      <c r="G33" s="16" t="s">
        <v>363</v>
      </c>
      <c r="H33" s="18" t="s">
        <v>364</v>
      </c>
      <c r="I33" s="18" t="s">
        <v>365</v>
      </c>
      <c r="J33" s="17" t="s">
        <v>366</v>
      </c>
      <c r="K33" s="19" t="s">
        <v>367</v>
      </c>
      <c r="L33" s="16" t="s">
        <v>30</v>
      </c>
      <c r="M33" s="17" t="s">
        <v>368</v>
      </c>
      <c r="N33" s="20" t="s">
        <v>111</v>
      </c>
      <c r="O33" s="17" t="s">
        <v>369</v>
      </c>
      <c r="P33" s="17" t="s">
        <v>370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1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28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2"/>
    <col collapsed="false" customWidth="true" hidden="false" outlineLevel="0" max="15" min="15" style="0" width="34"/>
    <col collapsed="false" customWidth="true" hidden="false" outlineLevel="0" max="16" min="16" style="0" width="40"/>
    <col collapsed="false" customWidth="true" hidden="false" outlineLevel="0" max="18" min="17" style="0" width="11"/>
  </cols>
  <sheetData>
    <row r="1" customFormat="false" ht="30" hidden="false" customHeight="true" outlineLevel="0" collapsed="false">
      <c r="A1" s="1" t="s">
        <v>371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true" outlineLevel="0" collapsed="false">
      <c r="A2" s="2" t="s">
        <v>372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 customFormat="false" ht="57.75" hidden="false" customHeight="true" outlineLevel="0" collapsed="false">
      <c r="A4" s="48" t="n">
        <v>1</v>
      </c>
      <c r="B4" s="49" t="s">
        <v>373</v>
      </c>
      <c r="C4" s="49" t="s">
        <v>374</v>
      </c>
      <c r="D4" s="48" t="s">
        <v>375</v>
      </c>
      <c r="E4" s="49" t="s">
        <v>376</v>
      </c>
      <c r="F4" s="48" t="s">
        <v>24</v>
      </c>
      <c r="G4" s="48" t="s">
        <v>377</v>
      </c>
      <c r="H4" s="50" t="s">
        <v>378</v>
      </c>
      <c r="I4" s="50" t="s">
        <v>379</v>
      </c>
      <c r="J4" s="49" t="s">
        <v>380</v>
      </c>
      <c r="K4" s="51" t="s">
        <v>381</v>
      </c>
      <c r="L4" s="48" t="s">
        <v>30</v>
      </c>
      <c r="M4" s="49" t="s">
        <v>382</v>
      </c>
      <c r="N4" s="48" t="s">
        <v>383</v>
      </c>
      <c r="O4" s="49" t="s">
        <v>384</v>
      </c>
      <c r="P4" s="49" t="s">
        <v>385</v>
      </c>
      <c r="Q4" s="52"/>
      <c r="R4" s="52"/>
    </row>
    <row r="5" customFormat="false" ht="57.75" hidden="false" customHeight="true" outlineLevel="0" collapsed="false">
      <c r="A5" s="48" t="n">
        <v>2</v>
      </c>
      <c r="B5" s="49" t="s">
        <v>386</v>
      </c>
      <c r="C5" s="49" t="s">
        <v>387</v>
      </c>
      <c r="D5" s="48" t="s">
        <v>388</v>
      </c>
      <c r="E5" s="49" t="s">
        <v>389</v>
      </c>
      <c r="F5" s="48" t="s">
        <v>390</v>
      </c>
      <c r="G5" s="48" t="s">
        <v>391</v>
      </c>
      <c r="H5" s="50" t="s">
        <v>392</v>
      </c>
      <c r="I5" s="50" t="s">
        <v>379</v>
      </c>
      <c r="J5" s="49" t="s">
        <v>393</v>
      </c>
      <c r="K5" s="51" t="s">
        <v>394</v>
      </c>
      <c r="L5" s="48" t="s">
        <v>30</v>
      </c>
      <c r="M5" s="53" t="s">
        <v>395</v>
      </c>
      <c r="N5" s="54" t="s">
        <v>396</v>
      </c>
      <c r="O5" s="49" t="s">
        <v>397</v>
      </c>
      <c r="P5" s="49" t="s">
        <v>398</v>
      </c>
      <c r="Q5" s="52"/>
      <c r="R5" s="52"/>
    </row>
    <row r="6" customFormat="false" ht="57.75" hidden="false" customHeight="true" outlineLevel="0" collapsed="false">
      <c r="A6" s="48" t="n">
        <v>3</v>
      </c>
      <c r="B6" s="49" t="s">
        <v>399</v>
      </c>
      <c r="C6" s="49" t="s">
        <v>400</v>
      </c>
      <c r="D6" s="48" t="s">
        <v>401</v>
      </c>
      <c r="E6" s="49" t="s">
        <v>402</v>
      </c>
      <c r="F6" s="48" t="s">
        <v>24</v>
      </c>
      <c r="G6" s="48" t="s">
        <v>403</v>
      </c>
      <c r="H6" s="50" t="s">
        <v>404</v>
      </c>
      <c r="I6" s="50" t="s">
        <v>405</v>
      </c>
      <c r="J6" s="49" t="s">
        <v>406</v>
      </c>
      <c r="K6" s="51" t="s">
        <v>407</v>
      </c>
      <c r="L6" s="48" t="s">
        <v>408</v>
      </c>
      <c r="M6" s="49" t="s">
        <v>409</v>
      </c>
      <c r="N6" s="54" t="s">
        <v>410</v>
      </c>
      <c r="O6" s="49" t="s">
        <v>411</v>
      </c>
      <c r="P6" s="49" t="s">
        <v>412</v>
      </c>
      <c r="Q6" s="52"/>
      <c r="R6" s="52"/>
    </row>
    <row r="7" customFormat="false" ht="57.75" hidden="false" customHeight="true" outlineLevel="0" collapsed="false">
      <c r="A7" s="48" t="n">
        <v>4</v>
      </c>
      <c r="B7" s="49" t="s">
        <v>413</v>
      </c>
      <c r="C7" s="49" t="s">
        <v>414</v>
      </c>
      <c r="D7" s="48" t="s">
        <v>415</v>
      </c>
      <c r="E7" s="49" t="s">
        <v>227</v>
      </c>
      <c r="F7" s="48" t="s">
        <v>416</v>
      </c>
      <c r="G7" s="48" t="s">
        <v>417</v>
      </c>
      <c r="H7" s="50" t="s">
        <v>418</v>
      </c>
      <c r="I7" s="50" t="s">
        <v>379</v>
      </c>
      <c r="J7" s="49" t="s">
        <v>419</v>
      </c>
      <c r="K7" s="51" t="s">
        <v>420</v>
      </c>
      <c r="L7" s="48" t="s">
        <v>30</v>
      </c>
      <c r="M7" s="49" t="s">
        <v>421</v>
      </c>
      <c r="N7" s="48" t="s">
        <v>345</v>
      </c>
      <c r="O7" s="49" t="s">
        <v>422</v>
      </c>
      <c r="P7" s="49" t="s">
        <v>423</v>
      </c>
      <c r="Q7" s="52"/>
      <c r="R7" s="52"/>
    </row>
    <row r="8" customFormat="false" ht="57.75" hidden="false" customHeight="true" outlineLevel="0" collapsed="false">
      <c r="A8" s="48" t="n">
        <v>5</v>
      </c>
      <c r="B8" s="49" t="s">
        <v>424</v>
      </c>
      <c r="C8" s="49" t="s">
        <v>425</v>
      </c>
      <c r="D8" s="48" t="s">
        <v>426</v>
      </c>
      <c r="E8" s="49" t="s">
        <v>427</v>
      </c>
      <c r="F8" s="48" t="s">
        <v>24</v>
      </c>
      <c r="G8" s="48" t="s">
        <v>428</v>
      </c>
      <c r="H8" s="50" t="s">
        <v>429</v>
      </c>
      <c r="I8" s="50" t="s">
        <v>310</v>
      </c>
      <c r="J8" s="49" t="s">
        <v>430</v>
      </c>
      <c r="K8" s="51" t="s">
        <v>431</v>
      </c>
      <c r="L8" s="48" t="s">
        <v>432</v>
      </c>
      <c r="M8" s="49" t="s">
        <v>409</v>
      </c>
      <c r="N8" s="48" t="s">
        <v>433</v>
      </c>
      <c r="O8" s="49" t="s">
        <v>434</v>
      </c>
      <c r="P8" s="49" t="s">
        <v>435</v>
      </c>
      <c r="Q8" s="52"/>
      <c r="R8" s="52"/>
    </row>
    <row r="9" customFormat="false" ht="57.75" hidden="false" customHeight="true" outlineLevel="0" collapsed="false">
      <c r="A9" s="48" t="n">
        <v>6</v>
      </c>
      <c r="B9" s="49" t="s">
        <v>436</v>
      </c>
      <c r="C9" s="49" t="s">
        <v>437</v>
      </c>
      <c r="D9" s="48" t="s">
        <v>438</v>
      </c>
      <c r="E9" s="49" t="s">
        <v>439</v>
      </c>
      <c r="F9" s="48" t="s">
        <v>24</v>
      </c>
      <c r="G9" s="48" t="s">
        <v>440</v>
      </c>
      <c r="H9" s="50" t="s">
        <v>441</v>
      </c>
      <c r="I9" s="50" t="s">
        <v>310</v>
      </c>
      <c r="J9" s="49" t="s">
        <v>442</v>
      </c>
      <c r="K9" s="51" t="s">
        <v>443</v>
      </c>
      <c r="L9" s="48" t="s">
        <v>30</v>
      </c>
      <c r="M9" s="53" t="s">
        <v>444</v>
      </c>
      <c r="N9" s="48" t="s">
        <v>310</v>
      </c>
      <c r="O9" s="49" t="s">
        <v>445</v>
      </c>
      <c r="P9" s="49" t="s">
        <v>446</v>
      </c>
      <c r="Q9" s="52"/>
      <c r="R9" s="52"/>
    </row>
    <row r="10" customFormat="false" ht="57.75" hidden="false" customHeight="true" outlineLevel="0" collapsed="false">
      <c r="A10" s="30" t="n">
        <v>7</v>
      </c>
      <c r="B10" s="31" t="s">
        <v>447</v>
      </c>
      <c r="C10" s="31" t="s">
        <v>448</v>
      </c>
      <c r="D10" s="30" t="s">
        <v>449</v>
      </c>
      <c r="E10" s="31" t="s">
        <v>450</v>
      </c>
      <c r="F10" s="30" t="s">
        <v>227</v>
      </c>
      <c r="G10" s="30" t="s">
        <v>451</v>
      </c>
      <c r="H10" s="32" t="s">
        <v>452</v>
      </c>
      <c r="I10" s="32" t="s">
        <v>453</v>
      </c>
      <c r="J10" s="31" t="s">
        <v>454</v>
      </c>
      <c r="K10" s="33" t="s">
        <v>455</v>
      </c>
      <c r="L10" s="30" t="s">
        <v>30</v>
      </c>
      <c r="M10" s="31" t="s">
        <v>456</v>
      </c>
      <c r="N10" s="55" t="s">
        <v>246</v>
      </c>
      <c r="O10" s="31" t="s">
        <v>457</v>
      </c>
      <c r="P10" s="31" t="s">
        <v>458</v>
      </c>
      <c r="Q10" s="52"/>
      <c r="R10" s="52"/>
    </row>
    <row r="11" customFormat="false" ht="57.75" hidden="false" customHeight="true" outlineLevel="0" collapsed="false">
      <c r="A11" s="48" t="n">
        <v>8</v>
      </c>
      <c r="B11" s="49" t="s">
        <v>459</v>
      </c>
      <c r="C11" s="49" t="s">
        <v>460</v>
      </c>
      <c r="D11" s="48" t="s">
        <v>461</v>
      </c>
      <c r="E11" s="49" t="s">
        <v>190</v>
      </c>
      <c r="F11" s="48" t="s">
        <v>24</v>
      </c>
      <c r="G11" s="48" t="s">
        <v>462</v>
      </c>
      <c r="H11" s="50" t="s">
        <v>463</v>
      </c>
      <c r="I11" s="50" t="s">
        <v>310</v>
      </c>
      <c r="J11" s="49" t="s">
        <v>464</v>
      </c>
      <c r="K11" s="51" t="s">
        <v>465</v>
      </c>
      <c r="L11" s="48" t="s">
        <v>30</v>
      </c>
      <c r="M11" s="53" t="s">
        <v>466</v>
      </c>
      <c r="N11" s="48" t="s">
        <v>310</v>
      </c>
      <c r="O11" s="49" t="s">
        <v>467</v>
      </c>
      <c r="P11" s="49" t="s">
        <v>468</v>
      </c>
      <c r="Q11" s="52"/>
      <c r="R11" s="52"/>
    </row>
    <row r="12" customFormat="false" ht="57.75" hidden="false" customHeight="true" outlineLevel="0" collapsed="false">
      <c r="A12" s="48" t="n">
        <v>9</v>
      </c>
      <c r="B12" s="49" t="s">
        <v>469</v>
      </c>
      <c r="C12" s="49" t="s">
        <v>470</v>
      </c>
      <c r="D12" s="48" t="s">
        <v>471</v>
      </c>
      <c r="E12" s="49" t="s">
        <v>310</v>
      </c>
      <c r="F12" s="48" t="s">
        <v>310</v>
      </c>
      <c r="G12" s="48" t="s">
        <v>310</v>
      </c>
      <c r="H12" s="50" t="s">
        <v>472</v>
      </c>
      <c r="I12" s="50" t="s">
        <v>310</v>
      </c>
      <c r="J12" s="49" t="s">
        <v>473</v>
      </c>
      <c r="K12" s="51" t="s">
        <v>474</v>
      </c>
      <c r="L12" s="48" t="s">
        <v>310</v>
      </c>
      <c r="M12" s="49" t="s">
        <v>475</v>
      </c>
      <c r="N12" s="48" t="s">
        <v>310</v>
      </c>
      <c r="O12" s="49" t="s">
        <v>476</v>
      </c>
      <c r="P12" s="49" t="s">
        <v>477</v>
      </c>
      <c r="Q12" s="52"/>
      <c r="R12" s="52"/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40"/>
  </cols>
  <sheetData>
    <row r="1" customFormat="false" ht="30" hidden="false" customHeight="true" outlineLevel="0" collapsed="false">
      <c r="A1" s="1" t="s">
        <v>478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479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" t="s">
        <v>480</v>
      </c>
      <c r="B3" s="3" t="s">
        <v>481</v>
      </c>
      <c r="C3" s="3" t="s">
        <v>482</v>
      </c>
      <c r="D3" s="3" t="s">
        <v>483</v>
      </c>
      <c r="E3" s="3" t="s">
        <v>484</v>
      </c>
      <c r="F3" s="3" t="s">
        <v>8</v>
      </c>
      <c r="G3" s="3" t="s">
        <v>485</v>
      </c>
      <c r="H3" s="3" t="s">
        <v>486</v>
      </c>
      <c r="I3" s="3" t="s">
        <v>487</v>
      </c>
      <c r="J3" s="3" t="s">
        <v>488</v>
      </c>
      <c r="K3" s="3" t="s">
        <v>17</v>
      </c>
    </row>
    <row r="4" customFormat="false" ht="30" hidden="false" customHeight="true" outlineLevel="0" collapsed="false">
      <c r="A4" s="56" t="s">
        <v>489</v>
      </c>
      <c r="B4" s="57" t="s">
        <v>490</v>
      </c>
      <c r="C4" s="56" t="s">
        <v>491</v>
      </c>
      <c r="D4" s="57" t="s">
        <v>306</v>
      </c>
      <c r="E4" s="57" t="s">
        <v>492</v>
      </c>
      <c r="F4" s="57" t="s">
        <v>493</v>
      </c>
      <c r="G4" s="57" t="s">
        <v>494</v>
      </c>
      <c r="H4" s="57" t="s">
        <v>495</v>
      </c>
      <c r="I4" s="57" t="s">
        <v>496</v>
      </c>
      <c r="J4" s="57" t="s">
        <v>497</v>
      </c>
      <c r="K4" s="56" t="s">
        <v>498</v>
      </c>
    </row>
    <row r="5" customFormat="false" ht="30" hidden="false" customHeight="true" outlineLevel="0" collapsed="false">
      <c r="A5" s="56" t="s">
        <v>499</v>
      </c>
      <c r="B5" s="57" t="s">
        <v>490</v>
      </c>
      <c r="C5" s="56" t="s">
        <v>500</v>
      </c>
      <c r="D5" s="57" t="s">
        <v>306</v>
      </c>
      <c r="E5" s="57" t="s">
        <v>501</v>
      </c>
      <c r="F5" s="57" t="s">
        <v>493</v>
      </c>
      <c r="G5" s="57" t="s">
        <v>502</v>
      </c>
      <c r="H5" s="57" t="s">
        <v>503</v>
      </c>
      <c r="I5" s="57" t="s">
        <v>504</v>
      </c>
      <c r="J5" s="57" t="s">
        <v>505</v>
      </c>
      <c r="K5" s="56" t="s">
        <v>506</v>
      </c>
    </row>
    <row r="6" customFormat="false" ht="30" hidden="false" customHeight="true" outlineLevel="0" collapsed="false">
      <c r="A6" s="58" t="s">
        <v>507</v>
      </c>
      <c r="B6" s="59" t="s">
        <v>490</v>
      </c>
      <c r="C6" s="58" t="s">
        <v>508</v>
      </c>
      <c r="D6" s="59" t="s">
        <v>306</v>
      </c>
      <c r="E6" s="59" t="s">
        <v>509</v>
      </c>
      <c r="F6" s="59" t="s">
        <v>493</v>
      </c>
      <c r="G6" s="59" t="s">
        <v>510</v>
      </c>
      <c r="H6" s="59" t="s">
        <v>511</v>
      </c>
      <c r="I6" s="59" t="s">
        <v>512</v>
      </c>
      <c r="J6" s="59" t="s">
        <v>513</v>
      </c>
      <c r="K6" s="58" t="s">
        <v>514</v>
      </c>
    </row>
    <row r="7" customFormat="false" ht="30" hidden="false" customHeight="true" outlineLevel="0" collapsed="false">
      <c r="A7" s="5" t="s">
        <v>515</v>
      </c>
      <c r="B7" s="4" t="s">
        <v>490</v>
      </c>
      <c r="C7" s="5" t="s">
        <v>516</v>
      </c>
      <c r="D7" s="4" t="s">
        <v>306</v>
      </c>
      <c r="E7" s="4" t="s">
        <v>517</v>
      </c>
      <c r="F7" s="4" t="s">
        <v>493</v>
      </c>
      <c r="G7" s="4" t="s">
        <v>518</v>
      </c>
      <c r="H7" s="4" t="s">
        <v>519</v>
      </c>
      <c r="I7" s="4" t="s">
        <v>520</v>
      </c>
      <c r="J7" s="4" t="s">
        <v>521</v>
      </c>
      <c r="K7" s="5" t="s">
        <v>522</v>
      </c>
    </row>
    <row r="8" customFormat="false" ht="30" hidden="false" customHeight="true" outlineLevel="0" collapsed="false">
      <c r="A8" s="5" t="s">
        <v>523</v>
      </c>
      <c r="B8" s="4" t="s">
        <v>490</v>
      </c>
      <c r="C8" s="5" t="s">
        <v>524</v>
      </c>
      <c r="D8" s="4" t="s">
        <v>306</v>
      </c>
      <c r="E8" s="4" t="s">
        <v>492</v>
      </c>
      <c r="F8" s="4" t="s">
        <v>493</v>
      </c>
      <c r="G8" s="4" t="s">
        <v>525</v>
      </c>
      <c r="H8" s="4" t="s">
        <v>526</v>
      </c>
      <c r="I8" s="4" t="s">
        <v>527</v>
      </c>
      <c r="J8" s="4" t="s">
        <v>528</v>
      </c>
      <c r="K8" s="5" t="s">
        <v>529</v>
      </c>
    </row>
    <row r="9" customFormat="false" ht="30" hidden="false" customHeight="true" outlineLevel="0" collapsed="false">
      <c r="A9" s="41" t="s">
        <v>530</v>
      </c>
      <c r="B9" s="40" t="s">
        <v>490</v>
      </c>
      <c r="C9" s="41" t="s">
        <v>531</v>
      </c>
      <c r="D9" s="40" t="s">
        <v>306</v>
      </c>
      <c r="E9" s="40" t="s">
        <v>532</v>
      </c>
      <c r="F9" s="40" t="s">
        <v>493</v>
      </c>
      <c r="G9" s="40" t="s">
        <v>533</v>
      </c>
      <c r="H9" s="40" t="s">
        <v>512</v>
      </c>
      <c r="I9" s="40" t="s">
        <v>534</v>
      </c>
      <c r="J9" s="40" t="s">
        <v>535</v>
      </c>
      <c r="K9" s="41" t="s">
        <v>536</v>
      </c>
    </row>
    <row r="10" customFormat="false" ht="30" hidden="false" customHeight="true" outlineLevel="0" collapsed="false">
      <c r="A10" s="31" t="s">
        <v>537</v>
      </c>
      <c r="B10" s="30" t="s">
        <v>490</v>
      </c>
      <c r="C10" s="31" t="s">
        <v>538</v>
      </c>
      <c r="D10" s="30" t="s">
        <v>306</v>
      </c>
      <c r="E10" s="30" t="s">
        <v>539</v>
      </c>
      <c r="F10" s="30" t="s">
        <v>493</v>
      </c>
      <c r="G10" s="30" t="s">
        <v>540</v>
      </c>
      <c r="H10" s="30" t="s">
        <v>541</v>
      </c>
      <c r="I10" s="30" t="s">
        <v>542</v>
      </c>
      <c r="J10" s="30" t="s">
        <v>543</v>
      </c>
      <c r="K10" s="31" t="s">
        <v>544</v>
      </c>
    </row>
    <row r="11" customFormat="false" ht="30" hidden="false" customHeight="true" outlineLevel="0" collapsed="false">
      <c r="A11" s="10" t="s">
        <v>545</v>
      </c>
      <c r="B11" s="9" t="s">
        <v>490</v>
      </c>
      <c r="C11" s="10" t="s">
        <v>546</v>
      </c>
      <c r="D11" s="9" t="s">
        <v>306</v>
      </c>
      <c r="E11" s="9" t="s">
        <v>492</v>
      </c>
      <c r="F11" s="9" t="s">
        <v>493</v>
      </c>
      <c r="G11" s="9" t="s">
        <v>547</v>
      </c>
      <c r="H11" s="9" t="s">
        <v>548</v>
      </c>
      <c r="I11" s="9" t="s">
        <v>549</v>
      </c>
      <c r="J11" s="9" t="s">
        <v>550</v>
      </c>
      <c r="K11" s="10" t="s">
        <v>551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40"/>
  </cols>
  <sheetData>
    <row r="1" customFormat="false" ht="30" hidden="false" customHeight="true" outlineLevel="0" collapsed="false">
      <c r="A1" s="1" t="s">
        <v>552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553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482</v>
      </c>
      <c r="B3" s="3" t="s">
        <v>554</v>
      </c>
      <c r="C3" s="3" t="s">
        <v>555</v>
      </c>
      <c r="D3" s="3" t="s">
        <v>8</v>
      </c>
      <c r="E3" s="3" t="s">
        <v>556</v>
      </c>
      <c r="F3" s="3" t="s">
        <v>557</v>
      </c>
      <c r="G3" s="3" t="s">
        <v>558</v>
      </c>
    </row>
    <row r="4" customFormat="false" ht="30" hidden="false" customHeight="true" outlineLevel="0" collapsed="false">
      <c r="A4" s="5" t="s">
        <v>559</v>
      </c>
      <c r="B4" s="5" t="s">
        <v>560</v>
      </c>
      <c r="C4" s="5" t="s">
        <v>561</v>
      </c>
      <c r="D4" s="4" t="s">
        <v>493</v>
      </c>
      <c r="E4" s="7" t="s">
        <v>306</v>
      </c>
      <c r="F4" s="4" t="s">
        <v>30</v>
      </c>
      <c r="G4" s="60" t="s">
        <v>562</v>
      </c>
    </row>
    <row r="5" customFormat="false" ht="30" hidden="false" customHeight="true" outlineLevel="0" collapsed="false">
      <c r="A5" s="10" t="s">
        <v>563</v>
      </c>
      <c r="B5" s="10" t="s">
        <v>35</v>
      </c>
      <c r="C5" s="10" t="s">
        <v>564</v>
      </c>
      <c r="D5" s="9" t="s">
        <v>565</v>
      </c>
      <c r="E5" s="12" t="s">
        <v>37</v>
      </c>
      <c r="F5" s="9" t="s">
        <v>566</v>
      </c>
      <c r="G5" s="61" t="s">
        <v>567</v>
      </c>
    </row>
    <row r="6" customFormat="false" ht="30" hidden="false" customHeight="true" outlineLevel="0" collapsed="false">
      <c r="A6" s="5" t="s">
        <v>568</v>
      </c>
      <c r="B6" s="5" t="s">
        <v>49</v>
      </c>
      <c r="C6" s="5" t="s">
        <v>55</v>
      </c>
      <c r="D6" s="4" t="s">
        <v>569</v>
      </c>
      <c r="E6" s="7" t="s">
        <v>64</v>
      </c>
      <c r="F6" s="4" t="s">
        <v>30</v>
      </c>
      <c r="G6" s="62" t="s">
        <v>570</v>
      </c>
    </row>
    <row r="7" customFormat="false" ht="30" hidden="false" customHeight="true" outlineLevel="0" collapsed="false">
      <c r="A7" s="31" t="s">
        <v>571</v>
      </c>
      <c r="B7" s="31" t="s">
        <v>174</v>
      </c>
      <c r="C7" s="31" t="s">
        <v>572</v>
      </c>
      <c r="D7" s="30" t="s">
        <v>573</v>
      </c>
      <c r="E7" s="33" t="s">
        <v>574</v>
      </c>
      <c r="F7" s="30" t="s">
        <v>30</v>
      </c>
      <c r="G7" s="63" t="s">
        <v>575</v>
      </c>
    </row>
    <row r="8" customFormat="false" ht="30" hidden="false" customHeight="true" outlineLevel="0" collapsed="false">
      <c r="A8" s="22" t="s">
        <v>576</v>
      </c>
      <c r="B8" s="22" t="s">
        <v>126</v>
      </c>
      <c r="C8" s="22" t="s">
        <v>577</v>
      </c>
      <c r="D8" s="21" t="s">
        <v>130</v>
      </c>
      <c r="E8" s="24" t="s">
        <v>578</v>
      </c>
      <c r="F8" s="21" t="s">
        <v>566</v>
      </c>
      <c r="G8" s="64" t="s">
        <v>579</v>
      </c>
    </row>
    <row r="9" customFormat="false" ht="30" hidden="false" customHeight="true" outlineLevel="0" collapsed="false">
      <c r="A9" s="5" t="s">
        <v>580</v>
      </c>
      <c r="B9" s="5" t="s">
        <v>581</v>
      </c>
      <c r="C9" s="5" t="s">
        <v>582</v>
      </c>
      <c r="D9" s="4" t="s">
        <v>583</v>
      </c>
      <c r="E9" s="7" t="s">
        <v>22</v>
      </c>
      <c r="F9" s="4" t="s">
        <v>30</v>
      </c>
      <c r="G9" s="14" t="s">
        <v>32</v>
      </c>
    </row>
    <row r="10" customFormat="false" ht="30" hidden="false" customHeight="true" outlineLevel="0" collapsed="false">
      <c r="A10" s="5" t="s">
        <v>584</v>
      </c>
      <c r="B10" s="5" t="s">
        <v>585</v>
      </c>
      <c r="C10" s="5" t="s">
        <v>586</v>
      </c>
      <c r="D10" s="4" t="s">
        <v>587</v>
      </c>
      <c r="E10" s="7" t="s">
        <v>588</v>
      </c>
      <c r="F10" s="4" t="s">
        <v>30</v>
      </c>
      <c r="G10" s="62" t="s">
        <v>72</v>
      </c>
    </row>
    <row r="11" customFormat="false" ht="30" hidden="false" customHeight="true" outlineLevel="0" collapsed="false">
      <c r="A11" s="27" t="s">
        <v>589</v>
      </c>
      <c r="B11" s="27" t="s">
        <v>149</v>
      </c>
      <c r="C11" s="27" t="s">
        <v>590</v>
      </c>
      <c r="D11" s="26" t="s">
        <v>591</v>
      </c>
      <c r="E11" s="29" t="s">
        <v>592</v>
      </c>
      <c r="F11" s="26" t="s">
        <v>30</v>
      </c>
      <c r="G11" s="65" t="s">
        <v>593</v>
      </c>
    </row>
    <row r="12" customFormat="false" ht="30" hidden="false" customHeight="true" outlineLevel="0" collapsed="false">
      <c r="A12" s="41" t="s">
        <v>594</v>
      </c>
      <c r="B12" s="41" t="s">
        <v>291</v>
      </c>
      <c r="C12" s="41" t="s">
        <v>595</v>
      </c>
      <c r="D12" s="40" t="s">
        <v>596</v>
      </c>
      <c r="E12" s="43" t="s">
        <v>84</v>
      </c>
      <c r="F12" s="40" t="s">
        <v>30</v>
      </c>
      <c r="G12" s="66" t="s">
        <v>597</v>
      </c>
    </row>
    <row r="13" customFormat="false" ht="30" hidden="false" customHeight="true" outlineLevel="0" collapsed="false">
      <c r="A13" s="36" t="s">
        <v>598</v>
      </c>
      <c r="B13" s="36" t="s">
        <v>599</v>
      </c>
      <c r="C13" s="36" t="s">
        <v>600</v>
      </c>
      <c r="D13" s="35" t="s">
        <v>601</v>
      </c>
      <c r="E13" s="38" t="s">
        <v>64</v>
      </c>
      <c r="F13" s="35" t="s">
        <v>30</v>
      </c>
      <c r="G13" s="67" t="s">
        <v>246</v>
      </c>
    </row>
    <row r="14" customFormat="false" ht="30" hidden="false" customHeight="true" outlineLevel="0" collapsed="false">
      <c r="A14" s="36" t="s">
        <v>602</v>
      </c>
      <c r="B14" s="36" t="s">
        <v>603</v>
      </c>
      <c r="C14" s="36" t="s">
        <v>242</v>
      </c>
      <c r="D14" s="35" t="s">
        <v>604</v>
      </c>
      <c r="E14" s="38" t="s">
        <v>605</v>
      </c>
      <c r="F14" s="35" t="s">
        <v>566</v>
      </c>
      <c r="G14" s="67" t="s">
        <v>246</v>
      </c>
    </row>
    <row r="15" customFormat="false" ht="30" hidden="false" customHeight="true" outlineLevel="0" collapsed="false">
      <c r="A15" s="49" t="s">
        <v>606</v>
      </c>
      <c r="B15" s="49" t="s">
        <v>373</v>
      </c>
      <c r="C15" s="49" t="s">
        <v>607</v>
      </c>
      <c r="D15" s="48" t="s">
        <v>608</v>
      </c>
      <c r="E15" s="51" t="s">
        <v>609</v>
      </c>
      <c r="F15" s="48" t="s">
        <v>30</v>
      </c>
      <c r="G15" s="68" t="s">
        <v>610</v>
      </c>
    </row>
    <row r="16" customFormat="false" ht="30" hidden="false" customHeight="true" outlineLevel="0" collapsed="false">
      <c r="A16" s="49" t="s">
        <v>611</v>
      </c>
      <c r="B16" s="49" t="s">
        <v>386</v>
      </c>
      <c r="C16" s="49" t="s">
        <v>612</v>
      </c>
      <c r="D16" s="48" t="s">
        <v>613</v>
      </c>
      <c r="E16" s="51" t="s">
        <v>388</v>
      </c>
      <c r="F16" s="48" t="s">
        <v>30</v>
      </c>
      <c r="G16" s="53" t="s">
        <v>614</v>
      </c>
    </row>
    <row r="17" customFormat="false" ht="30" hidden="false" customHeight="true" outlineLevel="0" collapsed="false">
      <c r="A17" s="45" t="s">
        <v>615</v>
      </c>
      <c r="B17" s="45" t="s">
        <v>304</v>
      </c>
      <c r="C17" s="45" t="s">
        <v>616</v>
      </c>
      <c r="D17" s="44" t="s">
        <v>617</v>
      </c>
      <c r="E17" s="47" t="s">
        <v>306</v>
      </c>
      <c r="F17" s="44" t="s">
        <v>30</v>
      </c>
      <c r="G17" s="69" t="s">
        <v>314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44"/>
    <col collapsed="false" customWidth="true" hidden="false" outlineLevel="0" max="5" min="5" style="0" width="26"/>
  </cols>
  <sheetData>
    <row r="1" customFormat="false" ht="30" hidden="false" customHeight="true" outlineLevel="0" collapsed="false">
      <c r="A1" s="1" t="s">
        <v>618</v>
      </c>
      <c r="B1" s="1"/>
      <c r="C1" s="1"/>
      <c r="D1" s="1"/>
      <c r="E1" s="1"/>
    </row>
    <row r="2" customFormat="false" ht="15" hidden="false" customHeight="true" outlineLevel="0" collapsed="false">
      <c r="A2" s="2" t="s">
        <v>619</v>
      </c>
      <c r="B2" s="2"/>
      <c r="C2" s="2"/>
      <c r="D2" s="2"/>
      <c r="E2" s="2"/>
    </row>
    <row r="3" customFormat="false" ht="30" hidden="false" customHeight="true" outlineLevel="0" collapsed="false">
      <c r="A3" s="3" t="s">
        <v>620</v>
      </c>
      <c r="B3" s="3" t="s">
        <v>621</v>
      </c>
      <c r="C3" s="3" t="s">
        <v>622</v>
      </c>
      <c r="D3" s="3" t="s">
        <v>623</v>
      </c>
      <c r="E3" s="3" t="s">
        <v>624</v>
      </c>
    </row>
    <row r="4" customFormat="false" ht="45.75" hidden="false" customHeight="true" outlineLevel="0" collapsed="false">
      <c r="A4" s="56" t="s">
        <v>625</v>
      </c>
      <c r="B4" s="5" t="s">
        <v>626</v>
      </c>
      <c r="C4" s="5" t="s">
        <v>627</v>
      </c>
      <c r="D4" s="5" t="s">
        <v>628</v>
      </c>
      <c r="E4" s="5" t="s">
        <v>629</v>
      </c>
    </row>
    <row r="5" customFormat="false" ht="45.75" hidden="false" customHeight="true" outlineLevel="0" collapsed="false">
      <c r="A5" s="56" t="s">
        <v>630</v>
      </c>
      <c r="B5" s="5" t="s">
        <v>631</v>
      </c>
      <c r="C5" s="5" t="s">
        <v>632</v>
      </c>
      <c r="D5" s="5" t="s">
        <v>633</v>
      </c>
      <c r="E5" s="5" t="s">
        <v>634</v>
      </c>
    </row>
    <row r="6" customFormat="false" ht="45.75" hidden="false" customHeight="true" outlineLevel="0" collapsed="false">
      <c r="A6" s="70" t="s">
        <v>140</v>
      </c>
      <c r="B6" s="22" t="s">
        <v>635</v>
      </c>
      <c r="C6" s="22" t="s">
        <v>636</v>
      </c>
      <c r="D6" s="22" t="s">
        <v>637</v>
      </c>
      <c r="E6" s="22" t="s">
        <v>638</v>
      </c>
    </row>
    <row r="7" customFormat="false" ht="45.75" hidden="false" customHeight="true" outlineLevel="0" collapsed="false">
      <c r="A7" s="71" t="s">
        <v>639</v>
      </c>
      <c r="B7" s="10" t="s">
        <v>640</v>
      </c>
      <c r="C7" s="10" t="s">
        <v>641</v>
      </c>
      <c r="D7" s="10" t="s">
        <v>642</v>
      </c>
      <c r="E7" s="10" t="s">
        <v>643</v>
      </c>
    </row>
    <row r="8" customFormat="false" ht="45.75" hidden="false" customHeight="true" outlineLevel="0" collapsed="false">
      <c r="A8" s="72" t="s">
        <v>644</v>
      </c>
      <c r="B8" s="36" t="s">
        <v>645</v>
      </c>
      <c r="C8" s="36" t="s">
        <v>646</v>
      </c>
      <c r="D8" s="36" t="s">
        <v>647</v>
      </c>
      <c r="E8" s="36" t="s">
        <v>648</v>
      </c>
    </row>
    <row r="9" customFormat="false" ht="45.75" hidden="false" customHeight="true" outlineLevel="0" collapsed="false">
      <c r="A9" s="73" t="s">
        <v>649</v>
      </c>
      <c r="B9" s="27" t="s">
        <v>650</v>
      </c>
      <c r="C9" s="27" t="s">
        <v>651</v>
      </c>
      <c r="D9" s="27" t="s">
        <v>652</v>
      </c>
      <c r="E9" s="27" t="s">
        <v>653</v>
      </c>
    </row>
    <row r="10" customFormat="false" ht="45.75" hidden="false" customHeight="true" outlineLevel="0" collapsed="false">
      <c r="A10" s="74" t="s">
        <v>654</v>
      </c>
      <c r="B10" s="49" t="s">
        <v>655</v>
      </c>
      <c r="C10" s="49" t="s">
        <v>656</v>
      </c>
      <c r="D10" s="49" t="s">
        <v>657</v>
      </c>
      <c r="E10" s="49" t="s">
        <v>658</v>
      </c>
    </row>
    <row r="11" customFormat="false" ht="45.75" hidden="false" customHeight="true" outlineLevel="0" collapsed="false">
      <c r="A11" s="75" t="s">
        <v>659</v>
      </c>
      <c r="B11" s="41" t="s">
        <v>291</v>
      </c>
      <c r="C11" s="41" t="s">
        <v>660</v>
      </c>
      <c r="D11" s="41" t="s">
        <v>661</v>
      </c>
      <c r="E11" s="41" t="s">
        <v>662</v>
      </c>
    </row>
    <row r="12" customFormat="false" ht="45.75" hidden="false" customHeight="true" outlineLevel="0" collapsed="false">
      <c r="A12" s="76" t="s">
        <v>175</v>
      </c>
      <c r="B12" s="31" t="s">
        <v>663</v>
      </c>
      <c r="C12" s="31" t="s">
        <v>664</v>
      </c>
      <c r="D12" s="31" t="s">
        <v>665</v>
      </c>
      <c r="E12" s="31" t="s">
        <v>666</v>
      </c>
    </row>
    <row r="13" customFormat="false" ht="45.75" hidden="false" customHeight="true" outlineLevel="0" collapsed="false">
      <c r="A13" s="56" t="s">
        <v>667</v>
      </c>
      <c r="B13" s="5" t="s">
        <v>668</v>
      </c>
      <c r="C13" s="5" t="s">
        <v>669</v>
      </c>
      <c r="D13" s="5" t="s">
        <v>670</v>
      </c>
      <c r="E13" s="5" t="s">
        <v>671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56"/>
    <col collapsed="false" customWidth="true" hidden="false" outlineLevel="0" max="5" min="5" style="0" width="44"/>
  </cols>
  <sheetData>
    <row r="1" customFormat="false" ht="30" hidden="false" customHeight="true" outlineLevel="0" collapsed="false">
      <c r="A1" s="1" t="s">
        <v>672</v>
      </c>
      <c r="B1" s="1"/>
      <c r="C1" s="1"/>
      <c r="D1" s="1"/>
      <c r="E1" s="1"/>
    </row>
    <row r="2" customFormat="false" ht="15" hidden="false" customHeight="true" outlineLevel="0" collapsed="false">
      <c r="A2" s="2" t="s">
        <v>673</v>
      </c>
      <c r="B2" s="2"/>
      <c r="C2" s="2"/>
      <c r="D2" s="2"/>
      <c r="E2" s="2"/>
    </row>
    <row r="3" customFormat="false" ht="30" hidden="false" customHeight="true" outlineLevel="0" collapsed="false">
      <c r="A3" s="3" t="s">
        <v>3</v>
      </c>
      <c r="B3" s="3" t="s">
        <v>482</v>
      </c>
      <c r="C3" s="3" t="s">
        <v>674</v>
      </c>
      <c r="D3" s="3" t="s">
        <v>675</v>
      </c>
      <c r="E3" s="3" t="s">
        <v>676</v>
      </c>
    </row>
    <row r="4" customFormat="false" ht="43.5" hidden="false" customHeight="true" outlineLevel="0" collapsed="false">
      <c r="A4" s="77" t="s">
        <v>677</v>
      </c>
      <c r="B4" s="78" t="s">
        <v>678</v>
      </c>
      <c r="C4" s="79" t="s">
        <v>679</v>
      </c>
      <c r="D4" s="78" t="s">
        <v>680</v>
      </c>
      <c r="E4" s="78" t="s">
        <v>681</v>
      </c>
    </row>
    <row r="5" customFormat="false" ht="43.5" hidden="false" customHeight="true" outlineLevel="0" collapsed="false">
      <c r="A5" s="58" t="s">
        <v>49</v>
      </c>
      <c r="B5" s="80" t="s">
        <v>682</v>
      </c>
      <c r="C5" s="81" t="s">
        <v>683</v>
      </c>
      <c r="D5" s="80" t="s">
        <v>684</v>
      </c>
      <c r="E5" s="80" t="s">
        <v>685</v>
      </c>
    </row>
    <row r="6" customFormat="false" ht="43.5" hidden="false" customHeight="true" outlineLevel="0" collapsed="false">
      <c r="A6" s="58" t="s">
        <v>386</v>
      </c>
      <c r="B6" s="80" t="s">
        <v>686</v>
      </c>
      <c r="C6" s="81" t="s">
        <v>683</v>
      </c>
      <c r="D6" s="80" t="s">
        <v>687</v>
      </c>
      <c r="E6" s="80" t="s">
        <v>688</v>
      </c>
    </row>
    <row r="7" customFormat="false" ht="43.5" hidden="false" customHeight="true" outlineLevel="0" collapsed="false">
      <c r="A7" s="77" t="s">
        <v>689</v>
      </c>
      <c r="B7" s="78" t="s">
        <v>682</v>
      </c>
      <c r="C7" s="79" t="s">
        <v>690</v>
      </c>
      <c r="D7" s="78" t="s">
        <v>691</v>
      </c>
      <c r="E7" s="78" t="s">
        <v>692</v>
      </c>
    </row>
    <row r="8" customFormat="false" ht="43.5" hidden="false" customHeight="true" outlineLevel="0" collapsed="false">
      <c r="A8" s="77" t="s">
        <v>693</v>
      </c>
      <c r="B8" s="78" t="s">
        <v>694</v>
      </c>
      <c r="C8" s="79" t="s">
        <v>695</v>
      </c>
      <c r="D8" s="78" t="s">
        <v>696</v>
      </c>
      <c r="E8" s="78" t="s">
        <v>697</v>
      </c>
    </row>
    <row r="9" customFormat="false" ht="43.5" hidden="false" customHeight="true" outlineLevel="0" collapsed="false">
      <c r="A9" s="77" t="s">
        <v>698</v>
      </c>
      <c r="B9" s="78" t="s">
        <v>699</v>
      </c>
      <c r="C9" s="79" t="s">
        <v>700</v>
      </c>
      <c r="D9" s="78" t="s">
        <v>701</v>
      </c>
      <c r="E9" s="78" t="s">
        <v>702</v>
      </c>
    </row>
    <row r="10" customFormat="false" ht="43.5" hidden="false" customHeight="true" outlineLevel="0" collapsed="false">
      <c r="A10" s="77" t="s">
        <v>703</v>
      </c>
      <c r="B10" s="78" t="s">
        <v>654</v>
      </c>
      <c r="C10" s="79" t="s">
        <v>704</v>
      </c>
      <c r="D10" s="78" t="s">
        <v>705</v>
      </c>
      <c r="E10" s="78" t="s">
        <v>706</v>
      </c>
    </row>
    <row r="11" customFormat="false" ht="43.5" hidden="false" customHeight="true" outlineLevel="0" collapsed="false">
      <c r="A11" s="77" t="s">
        <v>707</v>
      </c>
      <c r="B11" s="78" t="s">
        <v>699</v>
      </c>
      <c r="C11" s="79" t="s">
        <v>708</v>
      </c>
      <c r="D11" s="78" t="s">
        <v>709</v>
      </c>
      <c r="E11" s="78" t="s">
        <v>710</v>
      </c>
    </row>
    <row r="12" customFormat="false" ht="43.5" hidden="false" customHeight="true" outlineLevel="0" collapsed="false">
      <c r="A12" s="77" t="s">
        <v>711</v>
      </c>
      <c r="B12" s="78" t="s">
        <v>712</v>
      </c>
      <c r="C12" s="79" t="s">
        <v>713</v>
      </c>
      <c r="D12" s="78" t="s">
        <v>714</v>
      </c>
      <c r="E12" s="78" t="s">
        <v>715</v>
      </c>
    </row>
    <row r="13" customFormat="false" ht="43.5" hidden="false" customHeight="true" outlineLevel="0" collapsed="false">
      <c r="A13" s="77" t="s">
        <v>716</v>
      </c>
      <c r="B13" s="78" t="s">
        <v>717</v>
      </c>
      <c r="C13" s="79" t="s">
        <v>718</v>
      </c>
      <c r="D13" s="78" t="s">
        <v>719</v>
      </c>
      <c r="E13" s="78" t="s">
        <v>720</v>
      </c>
    </row>
    <row r="14" customFormat="false" ht="43.5" hidden="false" customHeight="true" outlineLevel="0" collapsed="false">
      <c r="A14" s="77" t="s">
        <v>721</v>
      </c>
      <c r="B14" s="78" t="s">
        <v>686</v>
      </c>
      <c r="C14" s="79" t="s">
        <v>700</v>
      </c>
      <c r="D14" s="78" t="s">
        <v>722</v>
      </c>
      <c r="E14" s="78" t="s">
        <v>723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8" min="4" style="0" width="14"/>
    <col collapsed="false" customWidth="true" hidden="false" outlineLevel="0" max="9" min="9" style="0" width="18"/>
    <col collapsed="false" customWidth="true" hidden="false" outlineLevel="0" max="10" min="10" style="0" width="40"/>
  </cols>
  <sheetData>
    <row r="1" customFormat="false" ht="30" hidden="false" customHeight="true" outlineLevel="0" collapsed="false">
      <c r="A1" s="1" t="s">
        <v>724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725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726</v>
      </c>
      <c r="B3" s="3" t="s">
        <v>727</v>
      </c>
      <c r="C3" s="3" t="s">
        <v>620</v>
      </c>
      <c r="D3" s="3" t="s">
        <v>728</v>
      </c>
      <c r="E3" s="3" t="s">
        <v>729</v>
      </c>
      <c r="F3" s="3" t="s">
        <v>730</v>
      </c>
      <c r="G3" s="3" t="s">
        <v>731</v>
      </c>
      <c r="H3" s="3" t="s">
        <v>732</v>
      </c>
      <c r="I3" s="3" t="s">
        <v>8</v>
      </c>
      <c r="J3" s="3" t="s">
        <v>733</v>
      </c>
    </row>
    <row r="4" customFormat="false" ht="24" hidden="false" customHeight="true" outlineLevel="0" collapsed="false">
      <c r="A4" s="7" t="s">
        <v>581</v>
      </c>
      <c r="B4" s="4" t="s">
        <v>734</v>
      </c>
      <c r="C4" s="5" t="s">
        <v>735</v>
      </c>
      <c r="D4" s="4"/>
      <c r="E4" s="82"/>
      <c r="F4" s="82"/>
      <c r="G4" s="83" t="n">
        <f aca="false">F4-E4</f>
        <v>0</v>
      </c>
      <c r="H4" s="84" t="str">
        <f aca="false">IF(E4=0,"-",(F4-E4)/E4)</f>
        <v>-</v>
      </c>
      <c r="I4" s="4" t="s">
        <v>583</v>
      </c>
      <c r="J4" s="5" t="s">
        <v>736</v>
      </c>
    </row>
    <row r="5" customFormat="false" ht="24" hidden="false" customHeight="true" outlineLevel="0" collapsed="false">
      <c r="A5" s="12" t="s">
        <v>35</v>
      </c>
      <c r="B5" s="9" t="s">
        <v>734</v>
      </c>
      <c r="C5" s="10" t="s">
        <v>737</v>
      </c>
      <c r="D5" s="9"/>
      <c r="E5" s="82"/>
      <c r="F5" s="82"/>
      <c r="G5" s="83" t="n">
        <f aca="false">F5-E5</f>
        <v>0</v>
      </c>
      <c r="H5" s="84" t="str">
        <f aca="false">IF(E5=0,"-",(F5-E5)/E5)</f>
        <v>-</v>
      </c>
      <c r="I5" s="9" t="s">
        <v>565</v>
      </c>
      <c r="J5" s="10" t="s">
        <v>738</v>
      </c>
    </row>
    <row r="6" customFormat="false" ht="24" hidden="false" customHeight="true" outlineLevel="0" collapsed="false">
      <c r="A6" s="7" t="s">
        <v>49</v>
      </c>
      <c r="B6" s="4" t="s">
        <v>734</v>
      </c>
      <c r="C6" s="5" t="s">
        <v>682</v>
      </c>
      <c r="D6" s="4"/>
      <c r="E6" s="82"/>
      <c r="F6" s="82"/>
      <c r="G6" s="83" t="n">
        <f aca="false">F6-E6</f>
        <v>0</v>
      </c>
      <c r="H6" s="84" t="str">
        <f aca="false">IF(E6=0,"-",(F6-E6)/E6)</f>
        <v>-</v>
      </c>
      <c r="I6" s="4" t="s">
        <v>569</v>
      </c>
      <c r="J6" s="5" t="s">
        <v>739</v>
      </c>
    </row>
    <row r="7" customFormat="false" ht="24" hidden="false" customHeight="true" outlineLevel="0" collapsed="false">
      <c r="A7" s="7" t="s">
        <v>62</v>
      </c>
      <c r="B7" s="4" t="s">
        <v>734</v>
      </c>
      <c r="C7" s="5" t="s">
        <v>76</v>
      </c>
      <c r="D7" s="4"/>
      <c r="E7" s="82"/>
      <c r="F7" s="82"/>
      <c r="G7" s="83" t="n">
        <f aca="false">F7-E7</f>
        <v>0</v>
      </c>
      <c r="H7" s="84" t="str">
        <f aca="false">IF(E7=0,"-",(F7-E7)/E7)</f>
        <v>-</v>
      </c>
      <c r="I7" s="4" t="s">
        <v>587</v>
      </c>
      <c r="J7" s="5" t="s">
        <v>740</v>
      </c>
    </row>
    <row r="8" customFormat="false" ht="24" hidden="false" customHeight="true" outlineLevel="0" collapsed="false">
      <c r="A8" s="7" t="s">
        <v>75</v>
      </c>
      <c r="B8" s="4" t="s">
        <v>734</v>
      </c>
      <c r="C8" s="5" t="s">
        <v>76</v>
      </c>
      <c r="D8" s="4"/>
      <c r="E8" s="82"/>
      <c r="F8" s="82"/>
      <c r="G8" s="83" t="n">
        <f aca="false">F8-E8</f>
        <v>0</v>
      </c>
      <c r="H8" s="84" t="str">
        <f aca="false">IF(E8=0,"-",(F8-E8)/E8)</f>
        <v>-</v>
      </c>
      <c r="I8" s="4" t="s">
        <v>741</v>
      </c>
      <c r="J8" s="5" t="s">
        <v>742</v>
      </c>
    </row>
    <row r="9" customFormat="false" ht="24" hidden="false" customHeight="true" outlineLevel="0" collapsed="false">
      <c r="A9" s="24" t="s">
        <v>126</v>
      </c>
      <c r="B9" s="21" t="s">
        <v>734</v>
      </c>
      <c r="C9" s="22" t="s">
        <v>140</v>
      </c>
      <c r="D9" s="21"/>
      <c r="E9" s="82"/>
      <c r="F9" s="82"/>
      <c r="G9" s="83" t="n">
        <f aca="false">F9-E9</f>
        <v>0</v>
      </c>
      <c r="H9" s="84" t="str">
        <f aca="false">IF(E9=0,"-",(F9-E9)/E9)</f>
        <v>-</v>
      </c>
      <c r="I9" s="21" t="s">
        <v>130</v>
      </c>
      <c r="J9" s="22" t="s">
        <v>743</v>
      </c>
    </row>
    <row r="10" customFormat="false" ht="24" hidden="false" customHeight="true" outlineLevel="0" collapsed="false">
      <c r="A10" s="33" t="s">
        <v>174</v>
      </c>
      <c r="B10" s="30" t="s">
        <v>734</v>
      </c>
      <c r="C10" s="31" t="s">
        <v>175</v>
      </c>
      <c r="D10" s="30"/>
      <c r="E10" s="82"/>
      <c r="F10" s="82"/>
      <c r="G10" s="83" t="n">
        <f aca="false">F10-E10</f>
        <v>0</v>
      </c>
      <c r="H10" s="84" t="str">
        <f aca="false">IF(E10=0,"-",(F10-E10)/E10)</f>
        <v>-</v>
      </c>
      <c r="I10" s="30" t="s">
        <v>744</v>
      </c>
      <c r="J10" s="31" t="s">
        <v>745</v>
      </c>
    </row>
    <row r="11" customFormat="false" ht="24" hidden="false" customHeight="true" outlineLevel="0" collapsed="false">
      <c r="A11" s="29" t="s">
        <v>149</v>
      </c>
      <c r="B11" s="26" t="s">
        <v>734</v>
      </c>
      <c r="C11" s="27" t="s">
        <v>746</v>
      </c>
      <c r="D11" s="26"/>
      <c r="E11" s="82"/>
      <c r="F11" s="82"/>
      <c r="G11" s="83" t="n">
        <f aca="false">F11-E11</f>
        <v>0</v>
      </c>
      <c r="H11" s="84" t="str">
        <f aca="false">IF(E11=0,"-",(F11-E11)/E11)</f>
        <v>-</v>
      </c>
      <c r="I11" s="26" t="s">
        <v>591</v>
      </c>
      <c r="J11" s="27" t="s">
        <v>747</v>
      </c>
    </row>
    <row r="12" customFormat="false" ht="24" hidden="false" customHeight="true" outlineLevel="0" collapsed="false">
      <c r="A12" s="43" t="s">
        <v>291</v>
      </c>
      <c r="B12" s="40" t="s">
        <v>734</v>
      </c>
      <c r="C12" s="41" t="s">
        <v>659</v>
      </c>
      <c r="D12" s="40"/>
      <c r="E12" s="82"/>
      <c r="F12" s="82"/>
      <c r="G12" s="83" t="n">
        <f aca="false">F12-E12</f>
        <v>0</v>
      </c>
      <c r="H12" s="84" t="str">
        <f aca="false">IF(E12=0,"-",(F12-E12)/E12)</f>
        <v>-</v>
      </c>
      <c r="I12" s="40" t="s">
        <v>596</v>
      </c>
      <c r="J12" s="41" t="s">
        <v>748</v>
      </c>
    </row>
    <row r="13" customFormat="false" ht="24" hidden="false" customHeight="true" outlineLevel="0" collapsed="false">
      <c r="A13" s="85" t="s">
        <v>749</v>
      </c>
      <c r="B13" s="86" t="s">
        <v>750</v>
      </c>
      <c r="C13" s="87" t="s">
        <v>491</v>
      </c>
      <c r="D13" s="86"/>
      <c r="E13" s="82"/>
      <c r="F13" s="82"/>
      <c r="G13" s="83" t="n">
        <f aca="false">F13-E13</f>
        <v>0</v>
      </c>
      <c r="H13" s="84" t="str">
        <f aca="false">IF(E13=0,"-",(F13-E13)/E13)</f>
        <v>-</v>
      </c>
      <c r="I13" s="86" t="s">
        <v>493</v>
      </c>
      <c r="J13" s="87" t="s">
        <v>751</v>
      </c>
    </row>
    <row r="14" customFormat="false" ht="24" hidden="false" customHeight="true" outlineLevel="0" collapsed="false">
      <c r="A14" s="85" t="s">
        <v>752</v>
      </c>
      <c r="B14" s="86" t="s">
        <v>750</v>
      </c>
      <c r="C14" s="87" t="s">
        <v>753</v>
      </c>
      <c r="D14" s="86"/>
      <c r="E14" s="82"/>
      <c r="F14" s="82"/>
      <c r="G14" s="83" t="n">
        <f aca="false">F14-E14</f>
        <v>0</v>
      </c>
      <c r="H14" s="84" t="str">
        <f aca="false">IF(E14=0,"-",(F14-E14)/E14)</f>
        <v>-</v>
      </c>
      <c r="I14" s="86" t="s">
        <v>493</v>
      </c>
      <c r="J14" s="87" t="s">
        <v>754</v>
      </c>
    </row>
    <row r="15" customFormat="false" ht="24" hidden="false" customHeight="true" outlineLevel="0" collapsed="false">
      <c r="A15" s="85" t="s">
        <v>755</v>
      </c>
      <c r="B15" s="86" t="s">
        <v>750</v>
      </c>
      <c r="C15" s="87" t="s">
        <v>508</v>
      </c>
      <c r="D15" s="86"/>
      <c r="E15" s="82"/>
      <c r="F15" s="82"/>
      <c r="G15" s="83" t="n">
        <f aca="false">F15-E15</f>
        <v>0</v>
      </c>
      <c r="H15" s="84" t="str">
        <f aca="false">IF(E15=0,"-",(F15-E15)/E15)</f>
        <v>-</v>
      </c>
      <c r="I15" s="86" t="s">
        <v>493</v>
      </c>
      <c r="J15" s="87" t="s">
        <v>756</v>
      </c>
    </row>
    <row r="16" customFormat="false" ht="24" hidden="false" customHeight="true" outlineLevel="0" collapsed="false">
      <c r="A16" s="51" t="s">
        <v>373</v>
      </c>
      <c r="B16" s="48" t="s">
        <v>757</v>
      </c>
      <c r="C16" s="49" t="s">
        <v>374</v>
      </c>
      <c r="D16" s="48"/>
      <c r="E16" s="82"/>
      <c r="F16" s="82"/>
      <c r="G16" s="83" t="n">
        <f aca="false">F16-E16</f>
        <v>0</v>
      </c>
      <c r="H16" s="84" t="str">
        <f aca="false">IF(E16=0,"-",(F16-E16)/E16)</f>
        <v>-</v>
      </c>
      <c r="I16" s="48" t="s">
        <v>608</v>
      </c>
      <c r="J16" s="49" t="s">
        <v>758</v>
      </c>
    </row>
    <row r="17" customFormat="false" ht="24" hidden="false" customHeight="true" outlineLevel="0" collapsed="false">
      <c r="A17" s="51" t="s">
        <v>386</v>
      </c>
      <c r="B17" s="48" t="s">
        <v>757</v>
      </c>
      <c r="C17" s="49" t="s">
        <v>686</v>
      </c>
      <c r="D17" s="48"/>
      <c r="E17" s="82"/>
      <c r="F17" s="82"/>
      <c r="G17" s="83" t="n">
        <f aca="false">F17-E17</f>
        <v>0</v>
      </c>
      <c r="H17" s="84" t="str">
        <f aca="false">IF(E17=0,"-",(F17-E17)/E17)</f>
        <v>-</v>
      </c>
      <c r="I17" s="48" t="s">
        <v>613</v>
      </c>
      <c r="J17" s="49" t="s">
        <v>759</v>
      </c>
    </row>
    <row r="18" customFormat="false" ht="21.75" hidden="false" customHeight="true" outlineLevel="0" collapsed="false">
      <c r="A18" s="88"/>
      <c r="B18" s="89"/>
      <c r="C18" s="88"/>
      <c r="D18" s="89"/>
      <c r="E18" s="90"/>
      <c r="F18" s="90"/>
      <c r="G18" s="83" t="n">
        <f aca="false">F18-E18</f>
        <v>0</v>
      </c>
      <c r="H18" s="84" t="str">
        <f aca="false">IF(E18=0,"-",(F18-E18)/E18)</f>
        <v>-</v>
      </c>
      <c r="I18" s="89"/>
      <c r="J18" s="88"/>
    </row>
    <row r="19" customFormat="false" ht="21.75" hidden="false" customHeight="true" outlineLevel="0" collapsed="false">
      <c r="A19" s="91"/>
      <c r="B19" s="92"/>
      <c r="C19" s="91"/>
      <c r="D19" s="92"/>
      <c r="E19" s="90"/>
      <c r="F19" s="90"/>
      <c r="G19" s="83" t="n">
        <f aca="false">F19-E19</f>
        <v>0</v>
      </c>
      <c r="H19" s="84" t="str">
        <f aca="false">IF(E19=0,"-",(F19-E19)/E19)</f>
        <v>-</v>
      </c>
      <c r="I19" s="92"/>
      <c r="J19" s="91"/>
    </row>
    <row r="20" customFormat="false" ht="21.75" hidden="false" customHeight="true" outlineLevel="0" collapsed="false">
      <c r="A20" s="88"/>
      <c r="B20" s="89"/>
      <c r="C20" s="88"/>
      <c r="D20" s="89"/>
      <c r="E20" s="90"/>
      <c r="F20" s="90"/>
      <c r="G20" s="83" t="n">
        <f aca="false">F20-E20</f>
        <v>0</v>
      </c>
      <c r="H20" s="84" t="str">
        <f aca="false">IF(E20=0,"-",(F20-E20)/E20)</f>
        <v>-</v>
      </c>
      <c r="I20" s="89"/>
      <c r="J20" s="88"/>
    </row>
    <row r="21" customFormat="false" ht="21.75" hidden="false" customHeight="true" outlineLevel="0" collapsed="false">
      <c r="A21" s="91"/>
      <c r="B21" s="92"/>
      <c r="C21" s="91"/>
      <c r="D21" s="92"/>
      <c r="E21" s="90"/>
      <c r="F21" s="90"/>
      <c r="G21" s="83" t="n">
        <f aca="false">F21-E21</f>
        <v>0</v>
      </c>
      <c r="H21" s="84" t="str">
        <f aca="false">IF(E21=0,"-",(F21-E21)/E21)</f>
        <v>-</v>
      </c>
      <c r="I21" s="92"/>
      <c r="J21" s="91"/>
    </row>
    <row r="22" customFormat="false" ht="21.75" hidden="false" customHeight="true" outlineLevel="0" collapsed="false">
      <c r="A22" s="88"/>
      <c r="B22" s="89"/>
      <c r="C22" s="88"/>
      <c r="D22" s="89"/>
      <c r="E22" s="90"/>
      <c r="F22" s="90"/>
      <c r="G22" s="83" t="n">
        <f aca="false">F22-E22</f>
        <v>0</v>
      </c>
      <c r="H22" s="84" t="str">
        <f aca="false">IF(E22=0,"-",(F22-E22)/E22)</f>
        <v>-</v>
      </c>
      <c r="I22" s="89"/>
      <c r="J22" s="88"/>
    </row>
    <row r="23" customFormat="false" ht="21.75" hidden="false" customHeight="true" outlineLevel="0" collapsed="false">
      <c r="A23" s="91"/>
      <c r="B23" s="92"/>
      <c r="C23" s="91"/>
      <c r="D23" s="92"/>
      <c r="E23" s="90"/>
      <c r="F23" s="90"/>
      <c r="G23" s="83" t="n">
        <f aca="false">F23-E23</f>
        <v>0</v>
      </c>
      <c r="H23" s="84" t="str">
        <f aca="false">IF(E23=0,"-",(F23-E23)/E23)</f>
        <v>-</v>
      </c>
      <c r="I23" s="92"/>
      <c r="J23" s="91"/>
    </row>
    <row r="24" customFormat="false" ht="21.75" hidden="false" customHeight="true" outlineLevel="0" collapsed="false">
      <c r="A24" s="88"/>
      <c r="B24" s="89"/>
      <c r="C24" s="88"/>
      <c r="D24" s="89"/>
      <c r="E24" s="90"/>
      <c r="F24" s="90"/>
      <c r="G24" s="83" t="n">
        <f aca="false">F24-E24</f>
        <v>0</v>
      </c>
      <c r="H24" s="84" t="str">
        <f aca="false">IF(E24=0,"-",(F24-E24)/E24)</f>
        <v>-</v>
      </c>
      <c r="I24" s="89"/>
      <c r="J24" s="88"/>
    </row>
    <row r="25" customFormat="false" ht="21.75" hidden="false" customHeight="true" outlineLevel="0" collapsed="false">
      <c r="A25" s="91"/>
      <c r="B25" s="92"/>
      <c r="C25" s="91"/>
      <c r="D25" s="92"/>
      <c r="E25" s="90"/>
      <c r="F25" s="90"/>
      <c r="G25" s="83" t="n">
        <f aca="false">F25-E25</f>
        <v>0</v>
      </c>
      <c r="H25" s="84" t="str">
        <f aca="false">IF(E25=0,"-",(F25-E25)/E25)</f>
        <v>-</v>
      </c>
      <c r="I25" s="92"/>
      <c r="J25" s="91"/>
    </row>
    <row r="26" customFormat="false" ht="21.75" hidden="false" customHeight="true" outlineLevel="0" collapsed="false">
      <c r="A26" s="88"/>
      <c r="B26" s="89"/>
      <c r="C26" s="88"/>
      <c r="D26" s="89"/>
      <c r="E26" s="90"/>
      <c r="F26" s="90"/>
      <c r="G26" s="83" t="n">
        <f aca="false">F26-E26</f>
        <v>0</v>
      </c>
      <c r="H26" s="84" t="str">
        <f aca="false">IF(E26=0,"-",(F26-E26)/E26)</f>
        <v>-</v>
      </c>
      <c r="I26" s="89"/>
      <c r="J26" s="88"/>
    </row>
    <row r="27" customFormat="false" ht="21.75" hidden="false" customHeight="true" outlineLevel="0" collapsed="false">
      <c r="A27" s="91"/>
      <c r="B27" s="92"/>
      <c r="C27" s="91"/>
      <c r="D27" s="92"/>
      <c r="E27" s="90"/>
      <c r="F27" s="90"/>
      <c r="G27" s="83" t="n">
        <f aca="false">F27-E27</f>
        <v>0</v>
      </c>
      <c r="H27" s="84" t="str">
        <f aca="false">IF(E27=0,"-",(F27-E27)/E27)</f>
        <v>-</v>
      </c>
      <c r="I27" s="92"/>
      <c r="J27" s="91"/>
    </row>
    <row r="28" customFormat="false" ht="21.75" hidden="false" customHeight="true" outlineLevel="0" collapsed="false">
      <c r="A28" s="88"/>
      <c r="B28" s="89"/>
      <c r="C28" s="88"/>
      <c r="D28" s="89"/>
      <c r="E28" s="90"/>
      <c r="F28" s="90"/>
      <c r="G28" s="83" t="n">
        <f aca="false">F28-E28</f>
        <v>0</v>
      </c>
      <c r="H28" s="84" t="str">
        <f aca="false">IF(E28=0,"-",(F28-E28)/E28)</f>
        <v>-</v>
      </c>
      <c r="I28" s="89"/>
      <c r="J28" s="88"/>
    </row>
    <row r="29" customFormat="false" ht="21.75" hidden="false" customHeight="true" outlineLevel="0" collapsed="false">
      <c r="A29" s="91"/>
      <c r="B29" s="92"/>
      <c r="C29" s="91"/>
      <c r="D29" s="92"/>
      <c r="E29" s="90"/>
      <c r="F29" s="90"/>
      <c r="G29" s="83" t="n">
        <f aca="false">F29-E29</f>
        <v>0</v>
      </c>
      <c r="H29" s="84" t="str">
        <f aca="false">IF(E29=0,"-",(F29-E29)/E29)</f>
        <v>-</v>
      </c>
      <c r="I29" s="92"/>
      <c r="J29" s="91"/>
    </row>
    <row r="30" customFormat="false" ht="24" hidden="false" customHeight="true" outlineLevel="0" collapsed="false">
      <c r="A30" s="93"/>
      <c r="B30" s="93"/>
      <c r="C30" s="93"/>
      <c r="D30" s="94" t="s">
        <v>760</v>
      </c>
      <c r="E30" s="95" t="n">
        <f aca="false">SUM(E4:E29)</f>
        <v>0</v>
      </c>
      <c r="F30" s="95" t="n">
        <f aca="false">SUM(F4:F29)</f>
        <v>0</v>
      </c>
      <c r="G30" s="95" t="n">
        <f aca="false">SUM(G4:G29)</f>
        <v>0</v>
      </c>
      <c r="H30" s="96" t="str">
        <f aca="false">IF(E30=0,"-",(F30-E30)/E30)</f>
        <v>-</v>
      </c>
      <c r="I30" s="93"/>
      <c r="J30" s="9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30" hidden="false" customHeight="true" outlineLevel="0" collapsed="false">
      <c r="A1" s="1" t="s">
        <v>761</v>
      </c>
      <c r="B1" s="1"/>
    </row>
    <row r="2" customFormat="false" ht="15" hidden="false" customHeight="true" outlineLevel="0" collapsed="false">
      <c r="A2" s="2" t="s">
        <v>762</v>
      </c>
      <c r="B2" s="2"/>
    </row>
    <row r="3" customFormat="false" ht="19.5" hidden="false" customHeight="true" outlineLevel="0" collapsed="false">
      <c r="A3" s="97" t="s">
        <v>763</v>
      </c>
      <c r="B3" s="97"/>
    </row>
    <row r="4" customFormat="false" ht="30" hidden="false" customHeight="true" outlineLevel="0" collapsed="false">
      <c r="A4" s="98" t="s">
        <v>764</v>
      </c>
      <c r="B4" s="99" t="s">
        <v>765</v>
      </c>
    </row>
    <row r="5" customFormat="false" ht="30" hidden="false" customHeight="true" outlineLevel="0" collapsed="false">
      <c r="A5" s="100" t="s">
        <v>766</v>
      </c>
      <c r="B5" s="101" t="s">
        <v>767</v>
      </c>
    </row>
    <row r="6" customFormat="false" ht="18" hidden="false" customHeight="true" outlineLevel="0" collapsed="false">
      <c r="A6" s="98"/>
      <c r="B6" s="99"/>
    </row>
    <row r="7" customFormat="false" ht="19.5" hidden="false" customHeight="true" outlineLevel="0" collapsed="false">
      <c r="A7" s="97" t="s">
        <v>768</v>
      </c>
      <c r="B7" s="97"/>
    </row>
    <row r="8" customFormat="false" ht="18" hidden="false" customHeight="true" outlineLevel="0" collapsed="false">
      <c r="A8" s="98" t="s">
        <v>769</v>
      </c>
      <c r="B8" s="99" t="s">
        <v>770</v>
      </c>
    </row>
    <row r="9" customFormat="false" ht="18" hidden="false" customHeight="true" outlineLevel="0" collapsed="false">
      <c r="A9" s="100" t="s">
        <v>771</v>
      </c>
      <c r="B9" s="101" t="s">
        <v>772</v>
      </c>
    </row>
    <row r="10" customFormat="false" ht="18" hidden="false" customHeight="true" outlineLevel="0" collapsed="false">
      <c r="A10" s="98" t="s">
        <v>773</v>
      </c>
      <c r="B10" s="99" t="s">
        <v>774</v>
      </c>
    </row>
    <row r="11" customFormat="false" ht="18" hidden="false" customHeight="true" outlineLevel="0" collapsed="false">
      <c r="A11" s="100" t="s">
        <v>775</v>
      </c>
      <c r="B11" s="101" t="s">
        <v>776</v>
      </c>
    </row>
    <row r="12" customFormat="false" ht="18" hidden="false" customHeight="true" outlineLevel="0" collapsed="false">
      <c r="A12" s="98" t="s">
        <v>777</v>
      </c>
      <c r="B12" s="99" t="s">
        <v>778</v>
      </c>
    </row>
    <row r="13" customFormat="false" ht="18" hidden="false" customHeight="true" outlineLevel="0" collapsed="false">
      <c r="A13" s="100" t="s">
        <v>779</v>
      </c>
      <c r="B13" s="101" t="s">
        <v>780</v>
      </c>
    </row>
    <row r="14" customFormat="false" ht="18" hidden="false" customHeight="true" outlineLevel="0" collapsed="false">
      <c r="A14" s="98" t="s">
        <v>781</v>
      </c>
      <c r="B14" s="99" t="s">
        <v>782</v>
      </c>
    </row>
    <row r="15" customFormat="false" ht="18" hidden="false" customHeight="true" outlineLevel="0" collapsed="false">
      <c r="A15" s="100" t="s">
        <v>783</v>
      </c>
      <c r="B15" s="101" t="s">
        <v>784</v>
      </c>
    </row>
    <row r="16" customFormat="false" ht="18" hidden="false" customHeight="true" outlineLevel="0" collapsed="false">
      <c r="A16" s="98" t="s">
        <v>785</v>
      </c>
      <c r="B16" s="99" t="s">
        <v>786</v>
      </c>
    </row>
    <row r="17" customFormat="false" ht="18" hidden="false" customHeight="true" outlineLevel="0" collapsed="false">
      <c r="A17" s="100" t="s">
        <v>787</v>
      </c>
      <c r="B17" s="101" t="s">
        <v>788</v>
      </c>
    </row>
    <row r="18" customFormat="false" ht="18" hidden="false" customHeight="true" outlineLevel="0" collapsed="false">
      <c r="A18" s="98" t="s">
        <v>789</v>
      </c>
      <c r="B18" s="99" t="s">
        <v>790</v>
      </c>
    </row>
    <row r="19" customFormat="false" ht="18" hidden="false" customHeight="true" outlineLevel="0" collapsed="false">
      <c r="A19" s="100" t="s">
        <v>791</v>
      </c>
      <c r="B19" s="101" t="s">
        <v>792</v>
      </c>
    </row>
    <row r="20" customFormat="false" ht="18" hidden="false" customHeight="true" outlineLevel="0" collapsed="false">
      <c r="A20" s="98" t="s">
        <v>793</v>
      </c>
      <c r="B20" s="99" t="s">
        <v>794</v>
      </c>
    </row>
    <row r="21" customFormat="false" ht="18" hidden="false" customHeight="true" outlineLevel="0" collapsed="false">
      <c r="A21" s="100" t="s">
        <v>795</v>
      </c>
      <c r="B21" s="101" t="s">
        <v>796</v>
      </c>
    </row>
    <row r="22" customFormat="false" ht="18" hidden="false" customHeight="true" outlineLevel="0" collapsed="false">
      <c r="A22" s="98" t="s">
        <v>797</v>
      </c>
      <c r="B22" s="99" t="s">
        <v>798</v>
      </c>
    </row>
    <row r="23" customFormat="false" ht="18" hidden="false" customHeight="true" outlineLevel="0" collapsed="false">
      <c r="A23" s="100" t="s">
        <v>799</v>
      </c>
      <c r="B23" s="101" t="s">
        <v>800</v>
      </c>
    </row>
    <row r="24" customFormat="false" ht="18" hidden="false" customHeight="true" outlineLevel="0" collapsed="false">
      <c r="A24" s="98" t="s">
        <v>801</v>
      </c>
      <c r="B24" s="99" t="s">
        <v>802</v>
      </c>
    </row>
    <row r="25" customFormat="false" ht="18" hidden="false" customHeight="true" outlineLevel="0" collapsed="false">
      <c r="A25" s="100" t="s">
        <v>803</v>
      </c>
      <c r="B25" s="101" t="s">
        <v>802</v>
      </c>
    </row>
    <row r="26" customFormat="false" ht="18" hidden="false" customHeight="true" outlineLevel="0" collapsed="false">
      <c r="A26" s="98"/>
      <c r="B26" s="99"/>
    </row>
    <row r="27" customFormat="false" ht="19.5" hidden="false" customHeight="true" outlineLevel="0" collapsed="false">
      <c r="A27" s="97" t="s">
        <v>804</v>
      </c>
      <c r="B27" s="97"/>
    </row>
    <row r="28" customFormat="false" ht="18" hidden="false" customHeight="true" outlineLevel="0" collapsed="false">
      <c r="A28" s="98" t="s">
        <v>805</v>
      </c>
      <c r="B28" s="99" t="s">
        <v>806</v>
      </c>
    </row>
    <row r="29" customFormat="false" ht="18" hidden="false" customHeight="true" outlineLevel="0" collapsed="false">
      <c r="A29" s="100" t="s">
        <v>807</v>
      </c>
      <c r="B29" s="101" t="s">
        <v>808</v>
      </c>
    </row>
    <row r="30" customFormat="false" ht="18" hidden="false" customHeight="true" outlineLevel="0" collapsed="false">
      <c r="A30" s="98" t="s">
        <v>809</v>
      </c>
      <c r="B30" s="99" t="s">
        <v>810</v>
      </c>
    </row>
    <row r="31" customFormat="false" ht="18" hidden="false" customHeight="true" outlineLevel="0" collapsed="false">
      <c r="A31" s="100"/>
      <c r="B31" s="101"/>
    </row>
    <row r="32" customFormat="false" ht="19.5" hidden="false" customHeight="true" outlineLevel="0" collapsed="false">
      <c r="A32" s="97" t="s">
        <v>811</v>
      </c>
      <c r="B32" s="97"/>
    </row>
    <row r="33" customFormat="false" ht="18" hidden="false" customHeight="true" outlineLevel="0" collapsed="false">
      <c r="A33" s="100" t="s">
        <v>812</v>
      </c>
      <c r="B33" s="101" t="s">
        <v>813</v>
      </c>
    </row>
    <row r="34" customFormat="false" ht="18" hidden="false" customHeight="true" outlineLevel="0" collapsed="false">
      <c r="A34" s="98" t="s">
        <v>814</v>
      </c>
      <c r="B34" s="99" t="s">
        <v>815</v>
      </c>
    </row>
    <row r="35" customFormat="false" ht="18" hidden="false" customHeight="true" outlineLevel="0" collapsed="false">
      <c r="A35" s="100" t="s">
        <v>816</v>
      </c>
      <c r="B35" s="101" t="s">
        <v>817</v>
      </c>
    </row>
    <row r="36" customFormat="false" ht="18" hidden="false" customHeight="true" outlineLevel="0" collapsed="false">
      <c r="A36" s="98"/>
      <c r="B36" s="99"/>
    </row>
    <row r="37" customFormat="false" ht="19.5" hidden="false" customHeight="true" outlineLevel="0" collapsed="false">
      <c r="A37" s="97" t="s">
        <v>818</v>
      </c>
      <c r="B37" s="97"/>
    </row>
    <row r="38" customFormat="false" ht="18" hidden="false" customHeight="true" outlineLevel="0" collapsed="false">
      <c r="A38" s="98" t="s">
        <v>819</v>
      </c>
      <c r="B38" s="99" t="s">
        <v>820</v>
      </c>
    </row>
    <row r="39" customFormat="false" ht="18" hidden="false" customHeight="true" outlineLevel="0" collapsed="false">
      <c r="A39" s="100" t="s">
        <v>812</v>
      </c>
      <c r="B39" s="101" t="s">
        <v>821</v>
      </c>
    </row>
    <row r="40" customFormat="false" ht="18" hidden="false" customHeight="true" outlineLevel="0" collapsed="false">
      <c r="A40" s="98" t="s">
        <v>822</v>
      </c>
      <c r="B40" s="99" t="s">
        <v>823</v>
      </c>
    </row>
    <row r="41" customFormat="false" ht="18" hidden="false" customHeight="true" outlineLevel="0" collapsed="false">
      <c r="A41" s="100" t="s">
        <v>824</v>
      </c>
      <c r="B41" s="101" t="s">
        <v>175</v>
      </c>
    </row>
    <row r="42" customFormat="false" ht="18" hidden="false" customHeight="true" outlineLevel="0" collapsed="false">
      <c r="A42" s="98" t="s">
        <v>825</v>
      </c>
      <c r="B42" s="99" t="s">
        <v>826</v>
      </c>
    </row>
    <row r="43" customFormat="false" ht="18" hidden="false" customHeight="true" outlineLevel="0" collapsed="false">
      <c r="A43" s="100" t="s">
        <v>816</v>
      </c>
      <c r="B43" s="101" t="s">
        <v>827</v>
      </c>
    </row>
    <row r="44" customFormat="false" ht="18" hidden="false" customHeight="true" outlineLevel="0" collapsed="false">
      <c r="A44" s="98" t="s">
        <v>828</v>
      </c>
      <c r="B44" s="99" t="s">
        <v>829</v>
      </c>
    </row>
    <row r="45" customFormat="false" ht="18" hidden="false" customHeight="true" outlineLevel="0" collapsed="false">
      <c r="A45" s="100" t="s">
        <v>830</v>
      </c>
      <c r="B45" s="101" t="s">
        <v>659</v>
      </c>
    </row>
    <row r="46" customFormat="false" ht="18" hidden="false" customHeight="true" outlineLevel="0" collapsed="false">
      <c r="A46" s="98" t="s">
        <v>831</v>
      </c>
      <c r="B46" s="99" t="s">
        <v>832</v>
      </c>
    </row>
    <row r="47" customFormat="false" ht="18" hidden="false" customHeight="true" outlineLevel="0" collapsed="false">
      <c r="A47" s="100"/>
      <c r="B47" s="101"/>
    </row>
    <row r="48" customFormat="false" ht="19.5" hidden="false" customHeight="true" outlineLevel="0" collapsed="false">
      <c r="A48" s="97" t="s">
        <v>833</v>
      </c>
      <c r="B48" s="97"/>
    </row>
    <row r="49" customFormat="false" ht="30" hidden="false" customHeight="true" outlineLevel="0" collapsed="false">
      <c r="A49" s="100" t="s">
        <v>834</v>
      </c>
      <c r="B49" s="101" t="s">
        <v>835</v>
      </c>
    </row>
    <row r="50" customFormat="false" ht="30" hidden="false" customHeight="true" outlineLevel="0" collapsed="false">
      <c r="A50" s="98" t="s">
        <v>836</v>
      </c>
      <c r="B50" s="99" t="s">
        <v>837</v>
      </c>
    </row>
    <row r="51" customFormat="false" ht="30" hidden="false" customHeight="true" outlineLevel="0" collapsed="false">
      <c r="A51" s="100" t="s">
        <v>838</v>
      </c>
      <c r="B51" s="101" t="s">
        <v>839</v>
      </c>
    </row>
    <row r="52" customFormat="false" ht="30" hidden="false" customHeight="true" outlineLevel="0" collapsed="false">
      <c r="A52" s="98" t="s">
        <v>840</v>
      </c>
      <c r="B52" s="99" t="s">
        <v>841</v>
      </c>
    </row>
  </sheetData>
  <mergeCells count="8">
    <mergeCell ref="A1:B1"/>
    <mergeCell ref="A2:B2"/>
    <mergeCell ref="A3:B3"/>
    <mergeCell ref="A7:B7"/>
    <mergeCell ref="A27:B27"/>
    <mergeCell ref="A32:B32"/>
    <mergeCell ref="A37:B37"/>
    <mergeCell ref="A48:B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2026-06-14T15:12:36Z</dcterms:created>
  <dc:creator>openpyxl</dc:creator>
  <dc:description/>
  <dc:language>en-US</dc:language>
  <cp:lastModifiedBy/>
  <dcterms:modified xsi:type="dcterms:W3CDTF">2026-06-14T15:12:36Z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