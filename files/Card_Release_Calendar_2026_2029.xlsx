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id_2026_Refresh" sheetId="2" state="visible" r:id="rId4"/>
    <sheet name="Master_Calendar" sheetId="3" state="visible" r:id="rId5"/>
    <sheet name="This_Month" sheetId="4" state="visible" r:id="rId6"/>
    <sheet name="Visual_Timeline" sheetId="5" state="visible" r:id="rId7"/>
    <sheet name="Pokemon" sheetId="6" state="visible" r:id="rId8"/>
    <sheet name="Magic" sheetId="7" state="visible" r:id="rId9"/>
    <sheet name="OnePiece" sheetId="8" state="visible" r:id="rId10"/>
    <sheet name="Lorcana" sheetId="9" state="visible" r:id="rId11"/>
    <sheet name="YuGiOh" sheetId="10" state="visible" r:id="rId12"/>
    <sheet name="Baseball" sheetId="11" state="visible" r:id="rId13"/>
    <sheet name="Basketball" sheetId="12" state="visible" r:id="rId14"/>
    <sheet name="Football" sheetId="13" state="visible" r:id="rId15"/>
    <sheet name="Soccer_WC" sheetId="14" state="visible" r:id="rId16"/>
    <sheet name="Catalysts" sheetId="15" state="visible" r:id="rId17"/>
    <sheet name="Scalper_Watchlist" sheetId="16" state="visible" r:id="rId18"/>
    <sheet name="Reprint_Risk" sheetId="17" state="visible" r:id="rId19"/>
    <sheet name="Buy_Queue" sheetId="18" state="visible" r:id="rId20"/>
  </sheets>
  <definedNames>
    <definedName function="false" hidden="true" localSheetId="10" name="_xlnm._FilterDatabase" vbProcedure="false">Baseball!$A$4:$K$13</definedName>
    <definedName function="false" hidden="true" localSheetId="11" name="_xlnm._FilterDatabase" vbProcedure="false">Basketball!$A$4:$K$7</definedName>
    <definedName function="false" hidden="true" localSheetId="12" name="_xlnm._FilterDatabase" vbProcedure="false">Football!$A$4:$K$9</definedName>
    <definedName function="false" hidden="true" localSheetId="8" name="_xlnm._FilterDatabase" vbProcedure="false">Lorcana!$A$4:$K$9</definedName>
    <definedName function="false" hidden="true" localSheetId="6" name="_xlnm._FilterDatabase" vbProcedure="false">Magic!$A$4:$K$23</definedName>
    <definedName function="false" hidden="true" localSheetId="2" name="_xlnm._FilterDatabase" vbProcedure="false">Master_Calendar!$A$4:$N$79</definedName>
    <definedName function="false" hidden="true" localSheetId="7" name="_xlnm._FilterDatabase" vbProcedure="false">OnePiece!$A$4:$K$9</definedName>
    <definedName function="false" hidden="true" localSheetId="5" name="_xlnm._FilterDatabase" vbProcedure="false">Pokemon!$A$4:$K$16</definedName>
    <definedName function="false" hidden="true" localSheetId="13" name="_xlnm._FilterDatabase" vbProcedure="false">Soccer_WC!$A$4:$K$9</definedName>
    <definedName function="false" hidden="true" localSheetId="9" name="_xlnm._FilterDatabase" vbProcedure="false">YuGiOh!$A$4:$K$6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<sst xmlns="http://schemas.openxmlformats.org/spreadsheetml/2006/main" count="2230" uniqueCount="633">
  <si>
    <t xml:space="preserve">Max Garcia — Forward Card Calendar</t>
  </si>
  <si>
    <t xml:space="preserve">April 2026 → March 2029 (35 months). Buy signals, windows, and priority tiers synthesized from publisher releases and established cadences.</t>
  </si>
  <si>
    <t xml:space="preserve">Patience pays. 🦞</t>
  </si>
  <si>
    <t xml:space="preserve">At-a-glance counts</t>
  </si>
  <si>
    <t xml:space="preserve">Total events tracked</t>
  </si>
  <si>
    <t xml:space="preserve">Priority 1 (must buy)</t>
  </si>
  <si>
    <t xml:space="preserve">Priority 2 (strong buy)</t>
  </si>
  <si>
    <t xml:space="preserve">Priority 5 (AVOID)</t>
  </si>
  <si>
    <t xml:space="preserve">Total budget allocated across calendar</t>
  </si>
  <si>
    <t xml:space="preserve">Which sheet do I open?</t>
  </si>
  <si>
    <t xml:space="preserve">Sheet</t>
  </si>
  <si>
    <t xml:space="preserve">Use it when</t>
  </si>
  <si>
    <t xml:space="preserve">This_Month</t>
  </si>
  <si>
    <t xml:space="preserve">What should I buy THIS MONTH? Formula-driven live view.</t>
  </si>
  <si>
    <t xml:space="preserve">Master_Calendar</t>
  </si>
  <si>
    <t xml:space="preserve">Every event chronologically. Filter by date or category.</t>
  </si>
  <si>
    <t xml:space="preserve">Pokemon / Magic / etc.</t>
  </si>
  <si>
    <t xml:space="preserve">Category deep dives with all events pre-filtered.</t>
  </si>
  <si>
    <t xml:space="preserve">Catalysts</t>
  </si>
  <si>
    <t xml:space="preserve">Anniversaries, tournaments, films — non-purchase events that move prices.</t>
  </si>
  <si>
    <t xml:space="preserve">Scalper_Watchlist</t>
  </si>
  <si>
    <t xml:space="preserve">SKUs to grab at MSRP the moment they drop.</t>
  </si>
  <si>
    <t xml:space="preserve">Reprint_Risk</t>
  </si>
  <si>
    <t xml:space="preserve">Products/cards to AVOID because reprints are imminent.</t>
  </si>
  <si>
    <t xml:space="preserve">Buy_Queue</t>
  </si>
  <si>
    <t xml:space="preserve">Priority-ranked action list with budget allocation summed.</t>
  </si>
  <si>
    <t xml:space="preserve">Action-signal key</t>
  </si>
  <si>
    <t xml:space="preserve">Signal</t>
  </si>
  <si>
    <t xml:space="preserve">What it means</t>
  </si>
  <si>
    <t xml:space="preserve">Preorder now</t>
  </si>
  <si>
    <t xml:space="preserve">Lock in MSRP before release — product will be scarce on drop day.</t>
  </si>
  <si>
    <t xml:space="preserve">Buy at MSRP on release</t>
  </si>
  <si>
    <t xml:space="preserve">Buy at retail MSRP on release day; will not get cheaper.</t>
  </si>
  <si>
    <t xml:space="preserve">Wait 90 days for trough</t>
  </si>
  <si>
    <t xml:space="preserve">Wait ~3 months for post-release trough. Typically 15-25% below MSRP.</t>
  </si>
  <si>
    <t xml:space="preserve">Wait 6 months for clearance</t>
  </si>
  <si>
    <t xml:space="preserve">Wait ~6 months for clearance pricing or inventory dump.</t>
  </si>
  <si>
    <t xml:space="preserve">Wait 12 months for stability</t>
  </si>
  <si>
    <t xml:space="preserve">Wait 12 months for price stability before buying.</t>
  </si>
  <si>
    <t xml:space="preserve">Accumulate steadily</t>
  </si>
  <si>
    <t xml:space="preserve">Buy small positions steadily over the entire window.</t>
  </si>
  <si>
    <t xml:space="preserve">Monitor only</t>
  </si>
  <si>
    <t xml:space="preserve">Not a purchase — watch conditions for information or later action.</t>
  </si>
  <si>
    <t xml:space="preserve">SKIP — do not buy</t>
  </si>
  <si>
    <t xml:space="preserve">Do not buy at any point. Worst expected value in the category.</t>
  </si>
  <si>
    <t xml:space="preserve">Forward Calendar — Mid-2026 Refresh Notes</t>
  </si>
  <si>
    <t xml:space="preserve">Market refresh as of June 14, 2026. Read before acting on older rows.</t>
  </si>
  <si>
    <t xml:space="preserve">#</t>
  </si>
  <si>
    <t xml:space="preserve">Mid-2026 update</t>
  </si>
  <si>
    <t xml:space="preserve">POKEMON 30th CELEBRATION: Sept 16-18, 2026 — first-ever worldwide simultaneous Pokemon release. All-foil packs, new opalescent Futuristic Rare, Base Charizard reprint, 30 Pikachu by YOSHIROTTEN, plus a Premium Deck Set (Espeon/Umbreon). Treat as a buy-everything event; expect retail to evaporate.</t>
  </si>
  <si>
    <t xml:space="preserve">POKEMON Mega-era 2026 cadence: Ascended Heroes (Jan 30), Phantasmal Flames / Mega Charizard X (Mar 13), Perfect Order (Mar 27), Chaos Rising (May 22, PRIORITY preorder), Pitch Black / Mega Darkrai (Jul 17, PRIORITY MSRP day-of), Storm Emerald / Mega Rayquaza (~Sept, confirm date).</t>
  </si>
  <si>
    <t xml:space="preserve">ONE PIECE: simultaneous global releases began with OP-15 (Apr 3). OP-16 Paramount War is the current set (Jun 12, $120/box). OP-17 4th-anniversary set ~August. WATCH: an August 2026 Premium Bandai restock of OP-13 could pull its ~$725 price down.</t>
  </si>
  <si>
    <t xml:space="preserve">MTG 2026: TMNT (Mar 6), Secrets of Strixhaven (Apr 24), Edge of Eternities (Apr 24), Marvel Super Heroes (Jun 26), The Hobbit (Aug), Reality Fracture (Oct 2), Star Trek (~Nov 20). Standard rotation rules change in 2027.</t>
  </si>
  <si>
    <t xml:space="preserve">LORCANA 2026: Winterspell (Feb 13), Wilds Unknown / first Pixar crossover (May 15, new Iconic rarity), Attack of the Vine! / Monsters Inc. (Jul 24), a Coco-themed Q4 set, and Illumineer’s Quest: Great Hunny Rescue (Oct, $59.99).</t>
  </si>
  <si>
    <t xml:space="preserve">GRADING: PSA Value-tier freeze (Jun 2) and ~14M backlog mean grading turnaround is a live calendar constraint through roughly Nov 2026. Plan submissions around CGC or hold raw; watch for PSA Value reopening as the trigger to resume bulk grading.</t>
  </si>
  <si>
    <t xml:space="preserve">SPORTS: Panini NFL exclusive ended Mar 31, 2026; first Fanatics NFL product (Topps Chrome Football) ~Apr 15. FIFA World Cup 2026 runs Jun 11-Jul 19; Panini Prizm FIFA WC hobby boxes drop Jun 26. Lock final-year Panini NFL/NBA hobby boxes for finality exposure.</t>
  </si>
  <si>
    <t xml:space="preserve">KEY THRESHOLDS TO WATCH: OP-13 post-restock price (August), PSA Value-tier reopening, the Panini-Fanatics antitrust trial outcome, and whether Pokemon's larger Mega-era print runs soften sealed prices.</t>
  </si>
  <si>
    <t xml:space="preserve">Master Calendar — April 2026 through March 2029</t>
  </si>
  <si>
    <t xml:space="preserve">Every confirmed and projected release and catalyst event. Sorted chronologically. Update Status column as purchases are made.</t>
  </si>
  <si>
    <t xml:space="preserve">Date</t>
  </si>
  <si>
    <t xml:space="preserve">Category</t>
  </si>
  <si>
    <t xml:space="preserve">Product / Event</t>
  </si>
  <si>
    <t xml:space="preserve">Publisher</t>
  </si>
  <si>
    <t xml:space="preserve">Format</t>
  </si>
  <si>
    <t xml:space="preserve">MSRP ($)</t>
  </si>
  <si>
    <t xml:space="preserve">Chase / Key Cards</t>
  </si>
  <si>
    <t xml:space="preserve">Availability Risk</t>
  </si>
  <si>
    <t xml:space="preserve">Action Signal</t>
  </si>
  <si>
    <t xml:space="preserve">Buy Window Start</t>
  </si>
  <si>
    <t xml:space="preserve">Buy Window End</t>
  </si>
  <si>
    <t xml:space="preserve">Priority</t>
  </si>
  <si>
    <t xml:space="preserve">Budget ($)</t>
  </si>
  <si>
    <t xml:space="preserve">Notes</t>
  </si>
  <si>
    <t xml:space="preserve">Magic</t>
  </si>
  <si>
    <t xml:space="preserve">Secrets of Strixhaven — Prerelease events</t>
  </si>
  <si>
    <t xml:space="preserve">Wizards of the Coast</t>
  </si>
  <si>
    <t xml:space="preserve">Prerelease Pack</t>
  </si>
  <si>
    <t xml:space="preserve">Mystical Archive reprints, Emeritus of Ideation serialized</t>
  </si>
  <si>
    <t xml:space="preserve">Medium</t>
  </si>
  <si>
    <t xml:space="preserve">2 — Strong buy</t>
  </si>
  <si>
    <t xml:space="preserve">Prerelease packs are the cheapest way into SOS chase slots. LGS events at Gamers Guild NWA.</t>
  </si>
  <si>
    <t xml:space="preserve">Secrets of Strixhaven — Play Booster Display</t>
  </si>
  <si>
    <t xml:space="preserve">Play Booster Box (30ct)</t>
  </si>
  <si>
    <t xml:space="preserve">Mystical Archive reprints across rarities</t>
  </si>
  <si>
    <t xml:space="preserve">Low</t>
  </si>
  <si>
    <t xml:space="preserve">3 — Opportunistic</t>
  </si>
  <si>
    <t xml:space="preserve">Play boosters typically trough 25% below MSRP by T+90. Wait.</t>
  </si>
  <si>
    <t xml:space="preserve">Secrets of Strixhaven — Collector Booster Display</t>
  </si>
  <si>
    <t xml:space="preserve">Collector Booster Box (12ct)</t>
  </si>
  <si>
    <t xml:space="preserve">Emeritus of Ideation serialized chase</t>
  </si>
  <si>
    <t xml:space="preserve">4 — Monitor</t>
  </si>
  <si>
    <t xml:space="preserve">Above $200/card ceiling. Monitor Collector Booster single pack at ~$27 MSRP instead.</t>
  </si>
  <si>
    <t xml:space="preserve">Secrets of Strixhaven — Commander Precons (5 decks)</t>
  </si>
  <si>
    <t xml:space="preserve">Commander Deck</t>
  </si>
  <si>
    <t xml:space="preserve">College-themed reprint packages per deck</t>
  </si>
  <si>
    <t xml:space="preserve">Commander precons are the single best MSRP buy in MTG. Pick one college theme.</t>
  </si>
  <si>
    <t xml:space="preserve">Secrets of Strixhaven — Bundle</t>
  </si>
  <si>
    <t xml:space="preserve">Bundle</t>
  </si>
  <si>
    <t xml:space="preserve">Promo art + accessories</t>
  </si>
  <si>
    <t xml:space="preserve">5 — Avoid</t>
  </si>
  <si>
    <t xml:space="preserve">Bundles are worst-value at new $58 MSRP. Buy Play Boosters separately if needed.</t>
  </si>
  <si>
    <t xml:space="preserve">Lorcana</t>
  </si>
  <si>
    <t xml:space="preserve">Wilds Unknown Illumineer's Trove</t>
  </si>
  <si>
    <t xml:space="preserve">Ravensburger</t>
  </si>
  <si>
    <t xml:space="preserve">Illumineer's Trove</t>
  </si>
  <si>
    <t xml:space="preserve">Chapter 10 Enchanted chase cards</t>
  </si>
  <si>
    <t xml:space="preserve">Illumineer's Trove is best-EV Lorcana SKU. 2 booster packs + starter + accessories.</t>
  </si>
  <si>
    <t xml:space="preserve">Wilds Unknown — Booster Box</t>
  </si>
  <si>
    <t xml:space="preserve">Booster Box (24 packs)</t>
  </si>
  <si>
    <t xml:space="preserve">Chapter 10 Enchanted cards (1:~3000 pull)</t>
  </si>
  <si>
    <t xml:space="preserve">Chapter sets typically trough 15-20% below MSRP at T+90.</t>
  </si>
  <si>
    <t xml:space="preserve">OnePiece</t>
  </si>
  <si>
    <t xml:space="preserve">OP-14 English release (The Cunning Saboteur)</t>
  </si>
  <si>
    <t xml:space="preserve">Bandai</t>
  </si>
  <si>
    <t xml:space="preserve">Sabo, Croc, Vivi alternate arts</t>
  </si>
  <si>
    <t xml:space="preserve">English OP releases reliably appreciate. Preorder through Gamers Guild or Collectors Edge.</t>
  </si>
  <si>
    <t xml:space="preserve">Film</t>
  </si>
  <si>
    <t xml:space="preserve">Mandalorian &amp; Grogu theatrical release</t>
  </si>
  <si>
    <t xml:space="preserve">Disney/Lucasfilm</t>
  </si>
  <si>
    <t xml:space="preserve">Film catalyst</t>
  </si>
  <si>
    <t xml:space="preserve">Drives SWU Grogu/Mando product demand through summer 2026</t>
  </si>
  <si>
    <t xml:space="preserve">CATALYST EVENT — not a purchase. Watch SWU Mando/Grogu alt-art singles for buying window.</t>
  </si>
  <si>
    <t xml:space="preserve">Soccer_WC</t>
  </si>
  <si>
    <t xml:space="preserve">Panini World Cup 2026 Sticker Album</t>
  </si>
  <si>
    <t xml:space="preserve">Panini</t>
  </si>
  <si>
    <t xml:space="preserve">Sticker album + packs</t>
  </si>
  <si>
    <t xml:space="preserve">Complete-album demand pre-tournament</t>
  </si>
  <si>
    <t xml:space="preserve">Cultural anchor product. Buy album + 20 packs ($30 total) as family activity + sealed hold.</t>
  </si>
  <si>
    <t xml:space="preserve">Catalyst</t>
  </si>
  <si>
    <t xml:space="preserve">FIFA World Cup 2026 kickoff (USA/Mexico/Canada)</t>
  </si>
  <si>
    <t xml:space="preserve">FIFA</t>
  </si>
  <si>
    <t xml:space="preserve">Global tournament catalyst</t>
  </si>
  <si>
    <t xml:space="preserve">48 teams, 104 matches, largest WC ever</t>
  </si>
  <si>
    <t xml:space="preserve">1 — Must buy</t>
  </si>
  <si>
    <t xml:space="preserve">CATALYST — the single biggest soccer card catalyst of the decade. Singles window opens.</t>
  </si>
  <si>
    <t xml:space="preserve">Final Fantasy Universes Beyond</t>
  </si>
  <si>
    <t xml:space="preserve">Collector Booster Box</t>
  </si>
  <si>
    <t xml:space="preserve">Cloud, Sephiroth, Tidus legendary variants</t>
  </si>
  <si>
    <t xml:space="preserve">High</t>
  </si>
  <si>
    <t xml:space="preserve">HIGHEST-CONVICTION MTG OF 2026. FF7 Remake/Rebirth residual + crossover demand. Preorder Commander deck at MSRP.</t>
  </si>
  <si>
    <t xml:space="preserve">Final Fantasy — Commander Decks</t>
  </si>
  <si>
    <t xml:space="preserve">FF-themed commanders, cross-franchise reprints</t>
  </si>
  <si>
    <t xml:space="preserve">Get one FF Commander deck at MSRP — scalper target, will 2x by year-end 2026.</t>
  </si>
  <si>
    <t xml:space="preserve">Pokemon</t>
  </si>
  <si>
    <t xml:space="preserve">Mega Evolution main set (English, est. Destined Horizons)</t>
  </si>
  <si>
    <t xml:space="preserve">Pokemon Company</t>
  </si>
  <si>
    <t xml:space="preserve">Elite Trainer Box</t>
  </si>
  <si>
    <t xml:space="preserve">Mega Charizard/Mewtwo Special Illustration Rares</t>
  </si>
  <si>
    <t xml:space="preserve">Preorder 2x ETBs through Pokemon Center direct. Scalpers will vacuum Target/Walmart endcaps.</t>
  </si>
  <si>
    <t xml:space="preserve">Mega Evolution — Booster Bundle (6 packs)</t>
  </si>
  <si>
    <t xml:space="preserve">Booster Bundle</t>
  </si>
  <si>
    <t xml:space="preserve">Entry-tier sealed</t>
  </si>
  <si>
    <t xml:space="preserve">Good entry SKU. Buy 2-3 if local retailers have stock at MSRP.</t>
  </si>
  <si>
    <t xml:space="preserve">Baseball</t>
  </si>
  <si>
    <t xml:space="preserve">Topps Series 2 (Topps 75th anniversary subsets)</t>
  </si>
  <si>
    <t xml:space="preserve">Topps/Fanatics</t>
  </si>
  <si>
    <t xml:space="preserve">Hobby Box</t>
  </si>
  <si>
    <t xml:space="preserve">Series 2 RCs, 75th-anniversary commemorative inserts</t>
  </si>
  <si>
    <t xml:space="preserve">2026 is Topps' 75th. Commemorative subsets have historically strong nostalgia resale.</t>
  </si>
  <si>
    <t xml:space="preserve">FIFA World Cup 2026 Final</t>
  </si>
  <si>
    <t xml:space="preserve">Tournament close</t>
  </si>
  <si>
    <t xml:space="preserve">Post-tournament correction window opens</t>
  </si>
  <si>
    <t xml:space="preserve">CATALYST — start buying singles of losing finalists at -20% within 72 hrs of final.</t>
  </si>
  <si>
    <t xml:space="preserve">Panini Prizm World Cup 2026 (Hobby)</t>
  </si>
  <si>
    <t xml:space="preserve">Hobby Box (12 packs)</t>
  </si>
  <si>
    <t xml:space="preserve">Yamal, Bellingham, Mbappé, Haaland base Silver Prizms</t>
  </si>
  <si>
    <t xml:space="preserve">HIGHEST-CONVICTION SOCCER PRODUCT OF THE DECADE. Preorder at authorized dealer. Split 1 box with a trading partner if $350 is over budget.</t>
  </si>
  <si>
    <t xml:space="preserve">Panini Select WC 2026</t>
  </si>
  <si>
    <t xml:space="preserve">Concourse/Premier/Field Level rookie parallels</t>
  </si>
  <si>
    <t xml:space="preserve">Tier-2 soccer. Buy 1 box at MSRP or split with trading partner.</t>
  </si>
  <si>
    <t xml:space="preserve">Panini Score + Donruss WC 2026 (retail)</t>
  </si>
  <si>
    <t xml:space="preserve">Retail blaster/mega</t>
  </si>
  <si>
    <t xml:space="preserve">Entry-tier world cup cards</t>
  </si>
  <si>
    <t xml:space="preserve">3 blasters for $75 total. Cheap singles hunting + sealed appreciation after WC ends.</t>
  </si>
  <si>
    <t xml:space="preserve">Marvel Spider-Man Universes Beyond (Collector)</t>
  </si>
  <si>
    <t xml:space="preserve">Spider-Man Collector Edition Commander ($160)</t>
  </si>
  <si>
    <t xml:space="preserve">Universes Beyond Marvel crossover. Collector Edition Commander at $160 is the preorder target.</t>
  </si>
  <si>
    <t xml:space="preserve">Marvel Spider-Man — Collector Edition Commander</t>
  </si>
  <si>
    <t xml:space="preserve">All-Surge-Foil Commander</t>
  </si>
  <si>
    <t xml:space="preserve">Every card foil, Spider-Man-themed</t>
  </si>
  <si>
    <t xml:space="preserve">All-foil premium Commander. Marvel IP crossover = high chance of 1.5-2x within 12 months.</t>
  </si>
  <si>
    <t xml:space="preserve">Bowman Chrome flagship</t>
  </si>
  <si>
    <t xml:space="preserve">1st Bowman Chrome Autos: 2026 Draft class + 2025 prospects</t>
  </si>
  <si>
    <t xml:space="preserve">Box is over $200 ceiling. Buy 1st Bowman Chrome Auto singles of top prospects at T+90 trough instead.</t>
  </si>
  <si>
    <t xml:space="preserve">Mega Evolution set 2 (English, est. late summer)</t>
  </si>
  <si>
    <t xml:space="preserve">Secondary Mega chase pulls</t>
  </si>
  <si>
    <t xml:space="preserve">Follow-up Mega set. Not scalper-priority — calmer buy window.</t>
  </si>
  <si>
    <t xml:space="preserve">Edge of Eternities (sci-fi standard set)</t>
  </si>
  <si>
    <t xml:space="preserve">Play Booster Box</t>
  </si>
  <si>
    <t xml:space="preserve">Original sci-fi IP, spacecraft mechanics</t>
  </si>
  <si>
    <t xml:space="preserve">New standard set. Wait for T+90 trough. Original IP = lower crossover hype than UB.</t>
  </si>
  <si>
    <t xml:space="preserve">OP-15 English release (est.)</t>
  </si>
  <si>
    <t xml:space="preserve">Booster Box</t>
  </si>
  <si>
    <t xml:space="preserve">Fifth-anniversary-adjacent alternate arts</t>
  </si>
  <si>
    <t xml:space="preserve">Fifth-anniversary runup begins. Bandai will tease 2027 anniversary products here.</t>
  </si>
  <si>
    <t xml:space="preserve">Chapter 11 main set (est. name Winterspell)</t>
  </si>
  <si>
    <t xml:space="preserve">Winter/Frozen-themed Enchanted cards</t>
  </si>
  <si>
    <t xml:space="preserve">Frozen IP always performs. D23 September 2026 may drive additional hype.</t>
  </si>
  <si>
    <t xml:space="preserve">D23 Expo 2026 (Disney fan convention)</t>
  </si>
  <si>
    <t xml:space="preserve">Disney</t>
  </si>
  <si>
    <t xml:space="preserve">Announcement catalyst</t>
  </si>
  <si>
    <t xml:space="preserve">Lorcana future sets revealed, Disney product roadmap</t>
  </si>
  <si>
    <t xml:space="preserve">CATALYST — watch for Lorcana set reveals and limited D23-exclusive promos.</t>
  </si>
  <si>
    <t xml:space="preserve">Basketball</t>
  </si>
  <si>
    <t xml:space="preserve">Topps NBA flagship inaugural release</t>
  </si>
  <si>
    <t xml:space="preserve">Cooper Flagg + 2025-26 rookie RCs on Topps substrate</t>
  </si>
  <si>
    <t xml:space="preserve">FIRST TOPPS NBA PRODUCT in 10+ years. Cooper Flagg RC is the single most speculated card of 2026.</t>
  </si>
  <si>
    <t xml:space="preserve">2024-25 Panini Prizm NBA (final Panini year)</t>
  </si>
  <si>
    <t xml:space="preserve">Hobby Box (existing)</t>
  </si>
  <si>
    <t xml:space="preserve">Last licensed Panini Prizm NBA ever</t>
  </si>
  <si>
    <t xml:space="preserve">Box over budget. Buy PSA 10 Silver Prizm rookie singles of established stars at &lt;$200 instead. End-of-era premium coming.</t>
  </si>
  <si>
    <t xml:space="preserve">Pokemon TCG 30th Anniversary Celebration Collection (est.)</t>
  </si>
  <si>
    <t xml:space="preserve">Special Anniversary Set</t>
  </si>
  <si>
    <t xml:space="preserve">Vintage reprints (Base Charizard, Pikachu), commemorative frames</t>
  </si>
  <si>
    <t xml:space="preserve">ULTRA HIGH CONVICTION. Pokemon TCG debuted October 1996; this is the 30th product. Preorder 2x. Will 2-3x by 2028.</t>
  </si>
  <si>
    <t xml:space="preserve">Topps Update Series (2026)</t>
  </si>
  <si>
    <t xml:space="preserve">2026 rookie RCs: Roman Anthony, Bubba Chandler, Walker Jenkins, Jac Caglianone</t>
  </si>
  <si>
    <t xml:space="preserve">The 2026 rookie class hits Topps Update. Buy if budget allows; else target rookie singles on the Feb 2027 trough.</t>
  </si>
  <si>
    <t xml:space="preserve">Avatar: The Last Airbender Universes Beyond</t>
  </si>
  <si>
    <t xml:space="preserve">Aang, Zuko, Katara, Toph legendary variants</t>
  </si>
  <si>
    <t xml:space="preserve">Avatar IP massive crossover. Preorder Commander deck ($75) only — box over budget.</t>
  </si>
  <si>
    <t xml:space="preserve">Avatar: The Last Airbender — Commander Decks</t>
  </si>
  <si>
    <t xml:space="preserve">Element-themed commanders</t>
  </si>
  <si>
    <t xml:space="preserve">Buy 1 deck at MSRP. Avatar fanbase + MTG crossover = reliable 2x within 18 months.</t>
  </si>
  <si>
    <t xml:space="preserve">Mega Evolution set 3 (English, late 2026)</t>
  </si>
  <si>
    <t xml:space="preserve">Year-end Mega chase</t>
  </si>
  <si>
    <t xml:space="preserve">Holiday-season release. Retailer stock relatively good; buy at MSRP without urgency.</t>
  </si>
  <si>
    <t xml:space="preserve">OP-16 The Moment of Decisive Battle (English)</t>
  </si>
  <si>
    <t xml:space="preserve">Marco, Ace, Whitebeard Marineford-arc alt arts</t>
  </si>
  <si>
    <t xml:space="preserve">Marineford arc is the most emotionally resonant One Piece arc. Alt arts will drive singles demand.</t>
  </si>
  <si>
    <t xml:space="preserve">Bowman Draft 2026</t>
  </si>
  <si>
    <t xml:space="preserve">2026 MLB draft class 1st Bowman Chrome Autos</t>
  </si>
  <si>
    <t xml:space="preserve">Box over budget. Research 2026 draft top-10 picks and target their 1st Bowman Chrome Autos &lt;$100 at T+90 trough.</t>
  </si>
  <si>
    <t xml:space="preserve">Football</t>
  </si>
  <si>
    <t xml:space="preserve">Topps NFL flagship inaugural (est.)</t>
  </si>
  <si>
    <t xml:space="preserve">Cam Ward, Travis Hunter, Abdul Carter on Topps NFL substrate</t>
  </si>
  <si>
    <t xml:space="preserve">FIRST TOPPS NFL since 2015. 2025 rookie class' first licensed Topps appearance.</t>
  </si>
  <si>
    <t xml:space="preserve">2025 Panini Prizm NFL (final Panini year)</t>
  </si>
  <si>
    <t xml:space="preserve">Final licensed Panini Prizm NFL</t>
  </si>
  <si>
    <t xml:space="preserve">Box over budget. Target 2025 Panini Prizm Silver Prizm rookies of Cam Ward/Travis Hunter &lt;$150 raw.</t>
  </si>
  <si>
    <t xml:space="preserve">Prismatic Evolutions-successor (est. Eevee-focused)</t>
  </si>
  <si>
    <t xml:space="preserve">Special Expansion</t>
  </si>
  <si>
    <t xml:space="preserve">High-pull-rate Eeveelution focus set</t>
  </si>
  <si>
    <t xml:space="preserve">Very High</t>
  </si>
  <si>
    <t xml:space="preserve">TOP-3 CONVICTION OF 2027. Prismatic Evolutions 2025 pattern repeats. Buy 3x ETBs through Pokemon Center direct.</t>
  </si>
  <si>
    <t xml:space="preserve">Topps Series 1 2027</t>
  </si>
  <si>
    <t xml:space="preserve">Rookie class standardization</t>
  </si>
  <si>
    <t xml:space="preserve">Standard annual release. MSRP if local LGS stocks.</t>
  </si>
  <si>
    <t xml:space="preserve">Super Bowl LXI (Inglewood, CA)</t>
  </si>
  <si>
    <t xml:space="preserve">NFL</t>
  </si>
  <si>
    <t xml:space="preserve">Championship catalyst</t>
  </si>
  <si>
    <t xml:space="preserve">Winning team rookies get 30-day price spike</t>
  </si>
  <si>
    <t xml:space="preserve">CATALYST — sell any Super Bowl winner rookie holdings in the 21-day window after the game.</t>
  </si>
  <si>
    <t xml:space="preserve">Innistrad / horror-themed spring 2027 set (est.)</t>
  </si>
  <si>
    <t xml:space="preserve">TBD spring 2027</t>
  </si>
  <si>
    <t xml:space="preserve">Monitor reveals March-April 2027. Wait for product announcement before committing budget.</t>
  </si>
  <si>
    <t xml:space="preserve">Topps Heritage 2027</t>
  </si>
  <si>
    <t xml:space="preserve">Nostalgic design rookies</t>
  </si>
  <si>
    <t xml:space="preserve">Heritage retains nostalgic appeal. Standard annual. MSRP buy.</t>
  </si>
  <si>
    <t xml:space="preserve">Chapter 13 (est.)</t>
  </si>
  <si>
    <t xml:space="preserve">Spring 2027 Enchanted chase</t>
  </si>
  <si>
    <t xml:space="preserve">Standard Lorcana quarterly cadence.</t>
  </si>
  <si>
    <t xml:space="preserve">Jackie Robinson 80th Anniversary (April 15)</t>
  </si>
  <si>
    <t xml:space="preserve">MLB</t>
  </si>
  <si>
    <t xml:space="preserve">Anniversary commemorative</t>
  </si>
  <si>
    <t xml:space="preserve">Drives Jackie Robinson vintage + insert demand</t>
  </si>
  <si>
    <t xml:space="preserve">CATALYST — Topps will insert Robinson tributes across flagship products. Watch PSA vintage Robinson prices.</t>
  </si>
  <si>
    <t xml:space="preserve">Spring 2027 standard set (est.)</t>
  </si>
  <si>
    <t xml:space="preserve">TBD</t>
  </si>
  <si>
    <t xml:space="preserve">Await announcement. Generic buy-timing rules apply.</t>
  </si>
  <si>
    <t xml:space="preserve">Mega Evolution set 4 (est.)</t>
  </si>
  <si>
    <t xml:space="preserve">Block capstone approaching</t>
  </si>
  <si>
    <t xml:space="preserve">Block is aging. Last 1-2 Mega ETBs often appreciate on block-end. Buy 1.</t>
  </si>
  <si>
    <t xml:space="preserve">FIFA Women's World Cup 2027 (Brazil)</t>
  </si>
  <si>
    <t xml:space="preserve">Tournament catalyst</t>
  </si>
  <si>
    <t xml:space="preserve">Drives USWNT + Spain + England singles</t>
  </si>
  <si>
    <t xml:space="preserve">CATALYST — position Alexia Putellas, Aitana Bonmatí, Trinity Rodman singles in advance.</t>
  </si>
  <si>
    <t xml:space="preserve">Modern Horizons 4 (est., 3-year MH cadence)</t>
  </si>
  <si>
    <t xml:space="preserve">Modern-format power cards, serialized retro</t>
  </si>
  <si>
    <t xml:space="preserve">MH4 box over budget. Watch for single-card Modern chase pieces &lt;$200 in collector boosters.</t>
  </si>
  <si>
    <t xml:space="preserve">One Piece TCG 5th Anniversary window</t>
  </si>
  <si>
    <t xml:space="preserve">Anniversary products</t>
  </si>
  <si>
    <t xml:space="preserve">Fifth-anniversary alternate arts, reprint chase sets</t>
  </si>
  <si>
    <t xml:space="preserve">DOUBLE CATALYST. OP manga also turns 30 in July 2027. Budget 2 purchases: anniversary booster + themed deck.</t>
  </si>
  <si>
    <t xml:space="preserve">One Piece manga 30th anniversary (July 1997 debut)</t>
  </si>
  <si>
    <t xml:space="preserve">Shueisha</t>
  </si>
  <si>
    <t xml:space="preserve">Franchise catalyst</t>
  </si>
  <si>
    <t xml:space="preserve">Drives OP TCG + vintage manga + merchandise demand</t>
  </si>
  <si>
    <t xml:space="preserve">Sustained 6-month catalyst. Accumulate One Piece alternate arts from Q2 2027 forward.</t>
  </si>
  <si>
    <t xml:space="preserve">Mega Evolution final block set (est.)</t>
  </si>
  <si>
    <t xml:space="preserve">Block-capstone chase cards</t>
  </si>
  <si>
    <t xml:space="preserve">LAST Mega Evolution set. Block-end sealed appreciation pattern is most reliable in Pokemon. Buy 2x.</t>
  </si>
  <si>
    <t xml:space="preserve">New block debut (est., possibly Pokemon Legends Z-A tie-in)</t>
  </si>
  <si>
    <t xml:space="preserve">New generation chase</t>
  </si>
  <si>
    <t xml:space="preserve">New Pokemon block debut. 2023 Scarlet &amp; Violet pattern suggests high scalper pressure. 3x ETBs.</t>
  </si>
  <si>
    <t xml:space="preserve">Universes Beyond fall 2027 (Star Wars speculated)</t>
  </si>
  <si>
    <t xml:space="preserve">Likely Star Wars IP (if confirmed)</t>
  </si>
  <si>
    <t xml:space="preserve">If Star Wars UB confirmed, preorder 1 Commander deck at MSRP.</t>
  </si>
  <si>
    <t xml:space="preserve">Bowman Draft 2027</t>
  </si>
  <si>
    <t xml:space="preserve">2027 MLB draft class RC autos</t>
  </si>
  <si>
    <t xml:space="preserve">Target top-10-pick 1st Bowman Chrome Auto singles &lt;$100 at T+90.</t>
  </si>
  <si>
    <t xml:space="preserve">NBA 80th anniversary season (2026-27 continuing)</t>
  </si>
  <si>
    <t xml:space="preserve">NBA</t>
  </si>
  <si>
    <t xml:space="preserve">Anniversary catalyst</t>
  </si>
  <si>
    <t xml:space="preserve">Drives commemorative product + vintage reprints</t>
  </si>
  <si>
    <t xml:space="preserve">CATALYST — Topps NBA will issue 80th subsets. Watch Jordan/Kobe/Lebron commemorative inserts.</t>
  </si>
  <si>
    <t xml:space="preserve">Annual special expansion (est., Eevee/Generation-1 focus)</t>
  </si>
  <si>
    <t xml:space="preserve">High-pull-rate focus set</t>
  </si>
  <si>
    <t xml:space="preserve">Prismatic-pattern January release. 3x ETBs. Scalper-target tier.</t>
  </si>
  <si>
    <t xml:space="preserve">Spring 2028 standard set (est.)</t>
  </si>
  <si>
    <t xml:space="preserve">Await announcement.</t>
  </si>
  <si>
    <t xml:space="preserve">Super Bowl LXII (New Orleans)</t>
  </si>
  <si>
    <t xml:space="preserve">Winning team rookies spike</t>
  </si>
  <si>
    <t xml:space="preserve">CATALYST — sell any SB winner rookies in 21-day post-game window.</t>
  </si>
  <si>
    <t xml:space="preserve">Chapter 15 or 5th Anniversary premium set (est.)</t>
  </si>
  <si>
    <t xml:space="preserve">Anniversary product</t>
  </si>
  <si>
    <t xml:space="preserve">Lorcana 5-year anniversary (launched Aug 2023)</t>
  </si>
  <si>
    <t xml:space="preserve">Lorcana 5-year anniversary catalyst. Plausible premium-reprint master set.</t>
  </si>
  <si>
    <t xml:space="preserve">Topps Series 1 2028 + Topps Update 2027 retail</t>
  </si>
  <si>
    <t xml:space="preserve">Standard annual</t>
  </si>
  <si>
    <t xml:space="preserve">Standard annual. Build ongoing vintage-RC exposure.</t>
  </si>
  <si>
    <t xml:space="preserve">UEFA Euro 2028 (UK / Ireland)</t>
  </si>
  <si>
    <t xml:space="preserve">UEFA</t>
  </si>
  <si>
    <t xml:space="preserve">European national-team singles premium</t>
  </si>
  <si>
    <t xml:space="preserve">CATALYST — drive Bellingham, Yamal, Kane, Mbappé European singles. Less impact than WC but meaningful.</t>
  </si>
  <si>
    <t xml:space="preserve">New block main set 2028 (est.)</t>
  </si>
  <si>
    <t xml:space="preserve">Mid-block chase cards</t>
  </si>
  <si>
    <t xml:space="preserve">New block mid-period releases. Buy 2x ETB.</t>
  </si>
  <si>
    <t xml:space="preserve">Summer Olympics 2028 Los Angeles (July 14 – 30)</t>
  </si>
  <si>
    <t xml:space="preserve">IOC</t>
  </si>
  <si>
    <t xml:space="preserve">Multi-sport global catalyst</t>
  </si>
  <si>
    <t xml:space="preserve">Biles, Ledecky, Richardson, USA men+women basketball</t>
  </si>
  <si>
    <t xml:space="preserve">CATALYST — LA28 drives US-athlete singles across swimming/gymnastics/track. Olympic Topps products expected.</t>
  </si>
  <si>
    <t xml:space="preserve">Post-Euro 2028 Topps Chrome UEFA 2027-28</t>
  </si>
  <si>
    <t xml:space="preserve">Topps</t>
  </si>
  <si>
    <t xml:space="preserve">Euro-adjacent singles premium</t>
  </si>
  <si>
    <t xml:space="preserve">Tournament residual product. Target Yamal/Bellingham 1st autos in singles market.</t>
  </si>
  <si>
    <t xml:space="preserve">Magic 35th Anniversary — Masters-style reprint set (est.)</t>
  </si>
  <si>
    <t xml:space="preserve">Serialized classic reprints — Alpha frame variants</t>
  </si>
  <si>
    <t xml:space="preserve">MAJOR CATALYST. Magic debuted Aug 1993. 30th anniversary pattern 2023 (30th Anniversary Edition) = premium reprint. Anniversary masters typically 2-3x launch price within 24 months.</t>
  </si>
  <si>
    <t xml:space="preserve">Topps NBA 2028-29 flagship</t>
  </si>
  <si>
    <t xml:space="preserve">2028 NBA rookie class (AJ Dybantsa, Cameron Boozer, Darryn Peterson)</t>
  </si>
  <si>
    <t xml:space="preserve">2028 class top-3 picks are generational. Preorder hobby box; split with partner if budget is tight.</t>
  </si>
  <si>
    <t xml:space="preserve">YuGiOh</t>
  </si>
  <si>
    <t xml:space="preserve">Yu-Gi-Oh 30th Anniversary pre-announcement products</t>
  </si>
  <si>
    <t xml:space="preserve">Konami</t>
  </si>
  <si>
    <t xml:space="preserve">Anniversary Rarity Collection</t>
  </si>
  <si>
    <t xml:space="preserve">Vintage reprints + Quarter Century Secret Rares</t>
  </si>
  <si>
    <t xml:space="preserve">Konami 25th Anniversary Rarity Collection drove ATH Yu-Gi-Oh prices in 2023-24. 30th repeats this pattern.</t>
  </si>
  <si>
    <t xml:space="preserve">OP-22 or anniversary-continuing (est.)</t>
  </si>
  <si>
    <t xml:space="preserve">Mid-to-late 2028 meta set</t>
  </si>
  <si>
    <t xml:space="preserve">Standard quarterly cadence. MSRP buy.</t>
  </si>
  <si>
    <t xml:space="preserve">High-end Topps Dynasty/Five Star/Transcendent 2028</t>
  </si>
  <si>
    <t xml:space="preserve">Premium Boxes</t>
  </si>
  <si>
    <t xml:space="preserve">Premium autos</t>
  </si>
  <si>
    <t xml:space="preserve">Premium boxes vastly over $200 budget. Monitor for singles only.</t>
  </si>
  <si>
    <t xml:space="preserve">Yu-Gi-Oh 30th Anniversary main launch products</t>
  </si>
  <si>
    <t xml:space="preserve">Anniversary Special Set</t>
  </si>
  <si>
    <t xml:space="preserve">Dark Magician, Blue-Eyes, Exodia premium reprints</t>
  </si>
  <si>
    <t xml:space="preserve">MAJOR CATALYST. Max budget deployment. Buy 2 sealed products; grade resale potential is highest-conviction in YGO history.</t>
  </si>
  <si>
    <t xml:space="preserve">Super Bowl LXIII (Santa Clara)</t>
  </si>
  <si>
    <t xml:space="preserve">Rookie spike pattern</t>
  </si>
  <si>
    <t xml:space="preserve">CATALYST — sell SB winner rookies in 21-day post-game window.</t>
  </si>
  <si>
    <t xml:space="preserve">Pokemon TCG 33-year product (est.)</t>
  </si>
  <si>
    <t xml:space="preserve">Standard set</t>
  </si>
  <si>
    <t xml:space="preserve">Mid-2029 block</t>
  </si>
  <si>
    <t xml:space="preserve">Standard release. No anniversary catalyst; standard cadence.</t>
  </si>
  <si>
    <t xml:space="preserve">Universes Beyond spring 2029 (est.)</t>
  </si>
  <si>
    <t xml:space="preserve">TBD IP</t>
  </si>
  <si>
    <t xml:space="preserve">Watch announcement. If Assassin's Creed, Stranger Things, or anime IP = preorder Commander.</t>
  </si>
  <si>
    <t xml:space="preserve">This Month — What to do right now</t>
  </si>
  <si>
    <t xml:space="preserve">Live view: every event with a buy window that overlaps the next 45 days, ranked by priority. Uses TODAY() so it updates automatically.</t>
  </si>
  <si>
    <t xml:space="preserve">Today's date:</t>
  </si>
  <si>
    <t xml:space="preserve">Looking forward:</t>
  </si>
  <si>
    <t xml:space="preserve">Product</t>
  </si>
  <si>
    <t xml:space="preserve">How to read this sheet: rows sorted by buy-window start. Scroll down to skip events whose windows have already passed. Re-sort by Date column (col B) to see chronological order.</t>
  </si>
  <si>
    <t xml:space="preserve">Visual Timeline — Quarter-Grouped Event Display</t>
  </si>
  <si>
    <t xml:space="preserve">Visual companion to Master_Calendar. Events grouped by calendar quarter with priority-tier color coding. Replaces the standalone HTML Dashboard.</t>
  </si>
  <si>
    <t xml:space="preserve">2026 Q2</t>
  </si>
  <si>
    <t xml:space="preserve">16 events</t>
  </si>
  <si>
    <t xml:space="preserve">Action</t>
  </si>
  <si>
    <t xml:space="preserve">Budget</t>
  </si>
  <si>
    <t xml:space="preserve">2026 Q3</t>
  </si>
  <si>
    <t xml:space="preserve">14 events</t>
  </si>
  <si>
    <t xml:space="preserve">2026 Q4</t>
  </si>
  <si>
    <t xml:space="preserve">9 events</t>
  </si>
  <si>
    <t xml:space="preserve">2027 Q1</t>
  </si>
  <si>
    <t xml:space="preserve">6 events</t>
  </si>
  <si>
    <t xml:space="preserve">2027 Q2</t>
  </si>
  <si>
    <t xml:space="preserve">5 events</t>
  </si>
  <si>
    <t xml:space="preserve">2027 Q3</t>
  </si>
  <si>
    <t xml:space="preserve">4 events</t>
  </si>
  <si>
    <t xml:space="preserve">2027 Q4</t>
  </si>
  <si>
    <t xml:space="preserve">3 events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</si>
  <si>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</si>
  <si>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</si>
  <si>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</si>
  <si>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</si>
  <si>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</si>
  <si>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Pokémon — 35-Month Calendar</t>
  </si>
  <si>
    <t xml:space="preserve">Mega Evolution block closure, next block debut, annual special expansions, 30th-anniversary products.</t>
  </si>
  <si>
    <t xml:space="preserve">Buy Window</t>
  </si>
  <si>
    <t xml:space="preserve">Availability</t>
  </si>
  <si>
    <t xml:space="preserve">May 01, 2026 → Jun 15, 2026</t>
  </si>
  <si>
    <t xml:space="preserve">Jun 15, 2026 → Jul 15, 2026</t>
  </si>
  <si>
    <t xml:space="preserve">Aug 08, 2026 → Nov 08, 2026</t>
  </si>
  <si>
    <t xml:space="preserve">Aug 15, 2026 → Oct 15, 2026</t>
  </si>
  <si>
    <t xml:space="preserve">Nov 07, 2026 → Feb 07, 2027</t>
  </si>
  <si>
    <t xml:space="preserve">Nov 15, 2026 → Jan 15, 2027</t>
  </si>
  <si>
    <t xml:space="preserve">May 15, 2027 → Aug 15, 2027</t>
  </si>
  <si>
    <t xml:space="preserve">Jun 15, 2027 → Aug 15, 2027</t>
  </si>
  <si>
    <t xml:space="preserve">Jul 15, 2027 → Sep 15, 2027</t>
  </si>
  <si>
    <t xml:space="preserve">Nov 15, 2027 → Jan 15, 2028</t>
  </si>
  <si>
    <t xml:space="preserve">Jun 15, 2028 → Sep 15, 2028</t>
  </si>
  <si>
    <t xml:space="preserve">Feb 15, 2029 → May 15, 2029</t>
  </si>
  <si>
    <t xml:space="preserve">TOTALS</t>
  </si>
  <si>
    <t xml:space="preserve">Magic: The Gathering — 35-Month Calendar</t>
  </si>
  <si>
    <t xml:space="preserve">Standard rotations, Universes Beyond crossovers (FF, Marvel, Avatar), Modern Horizons 4, 35th-anniversary masters.</t>
  </si>
  <si>
    <t xml:space="preserve">Apr 17, 2026 → Apr 24, 2026</t>
  </si>
  <si>
    <t xml:space="preserve">Jul 24, 2026 → Oct 24, 2026</t>
  </si>
  <si>
    <t xml:space="preserve">Jul 24, 2026 → Apr 24, 2027</t>
  </si>
  <si>
    <t xml:space="preserve">Apr 24, 2026 → Jun 24, 2026</t>
  </si>
  <si>
    <t xml:space="preserve">Apr 15, 2026 → Jun 13, 2026</t>
  </si>
  <si>
    <t xml:space="preserve">Jul 25, 2026 → Jan 25, 2027</t>
  </si>
  <si>
    <t xml:space="preserve">May 25, 2026 → Jul 25, 2026</t>
  </si>
  <si>
    <t xml:space="preserve">Nov 15, 2026 → Feb 15, 2027</t>
  </si>
  <si>
    <t xml:space="preserve">Sep 01, 2026 → Nov 01, 2026</t>
  </si>
  <si>
    <t xml:space="preserve">Apr 20, 2027 → Jul 20, 2027</t>
  </si>
  <si>
    <t xml:space="preserve">Apr 15, 2027 → Jun 15, 2027</t>
  </si>
  <si>
    <t xml:space="preserve">Aug 15, 2027 → Oct 15, 2027</t>
  </si>
  <si>
    <t xml:space="preserve">Jan 20, 2028 → Apr 20, 2028</t>
  </si>
  <si>
    <t xml:space="preserve">Jun 15, 2028 → Aug 15, 2028</t>
  </si>
  <si>
    <t xml:space="preserve">Jan 20, 2029 → Mar 20, 2029</t>
  </si>
  <si>
    <t xml:space="preserve">One Piece TCG — 35-Month Calendar</t>
  </si>
  <si>
    <t xml:space="preserve">Standard Bandai quarterly releases plus July 2027 manga-30th + TCG-5th anniversary double catalyst.</t>
  </si>
  <si>
    <t xml:space="preserve">Apr 22, 2026 → May 22, 2026</t>
  </si>
  <si>
    <t xml:space="preserve">Jul 01, 2026 → Aug 20, 2026</t>
  </si>
  <si>
    <t xml:space="preserve">Sep 10, 2026 → Nov 10, 2026</t>
  </si>
  <si>
    <t xml:space="preserve">May 01, 2027 → Jul 31, 2027</t>
  </si>
  <si>
    <t xml:space="preserve">Nov 15, 2028 → Feb 15, 2029</t>
  </si>
  <si>
    <t xml:space="preserve">Disney Lorcana — 35-Month Calendar</t>
  </si>
  <si>
    <t xml:space="preserve">Quarterly Ravensburger releases + D23 2026 reveal window + 5-year anniversary in 2028.</t>
  </si>
  <si>
    <t xml:space="preserve">May 15, 2026 → Jun 15, 2026</t>
  </si>
  <si>
    <t xml:space="preserve">Aug 15, 2026 → Nov 15, 2026</t>
  </si>
  <si>
    <t xml:space="preserve">Sep 05, 2026 → Dec 05, 2026</t>
  </si>
  <si>
    <t xml:space="preserve">Mar 25, 2027 → Jun 25, 2027</t>
  </si>
  <si>
    <t xml:space="preserve">Jan 10, 2028 → Mar 10, 2028</t>
  </si>
  <si>
    <t xml:space="preserve">Yu-Gi-Oh! — 35-Month Calendar</t>
  </si>
  <si>
    <t xml:space="preserve">Standard Konami cadence with major 30th-anniversary catalyst late 2028 → early 2029.</t>
  </si>
  <si>
    <t xml:space="preserve">Aug 15, 2028 → Oct 15, 2028</t>
  </si>
  <si>
    <t xml:space="preserve">Nov 15, 2028 → Jan 15, 2029</t>
  </si>
  <si>
    <t xml:space="preserve">Baseball Cards — 35-Month Calendar</t>
  </si>
  <si>
    <t xml:space="preserve">Topps/Fanatics annual cadence, Jackie Robinson 80th in 2027, Bowman Chrome prospect autos.</t>
  </si>
  <si>
    <t xml:space="preserve">Jun 19, 2026 → Sep 19, 2026</t>
  </si>
  <si>
    <t xml:space="preserve">Aug 07, 2026 → Feb 07, 2027</t>
  </si>
  <si>
    <t xml:space="preserve">Oct 22, 2026 → Jan 22, 2027</t>
  </si>
  <si>
    <t xml:space="preserve">Nov 21, 2026 → May 21, 2027</t>
  </si>
  <si>
    <t xml:space="preserve">Jan 27, 2027 → Apr 27, 2027</t>
  </si>
  <si>
    <t xml:space="preserve">Mar 14, 2027 → Jun 14, 2027</t>
  </si>
  <si>
    <t xml:space="preserve">Nov 05, 2027 → May 05, 2028</t>
  </si>
  <si>
    <t xml:space="preserve">Apr 15, 2028 → Jul 15, 2028</t>
  </si>
  <si>
    <t xml:space="preserve">Dec 01, 2028 → Jun 01, 2029</t>
  </si>
  <si>
    <t xml:space="preserve">Basketball Cards — 35-Month Calendar</t>
  </si>
  <si>
    <t xml:space="preserve">Topps NBA debut 2026, final Panini Prizm 2024-25, Cooper Flagg RC catalyst, NBA 80th anniversary.</t>
  </si>
  <si>
    <t xml:space="preserve">Jul 15, 2026 → Sep 15, 2026</t>
  </si>
  <si>
    <t xml:space="preserve">Apr 20, 2026 → Apr 20, 2027</t>
  </si>
  <si>
    <t xml:space="preserve">Jul 15, 2028 → Sep 15, 2028</t>
  </si>
  <si>
    <t xml:space="preserve">Football Cards — 35-Month Calendar</t>
  </si>
  <si>
    <t xml:space="preserve">Topps NFL debut late 2026, final Panini Prizm 2025, Super Bowls LXI/LXII/LXIII catalysts.</t>
  </si>
  <si>
    <t xml:space="preserve">Oct 05, 2026 → Dec 05, 2026</t>
  </si>
  <si>
    <t xml:space="preserve">Jun 15, 2026 → Feb 15, 2027</t>
  </si>
  <si>
    <t xml:space="preserve">Feb 07, 2027 → Mar 07, 2027</t>
  </si>
  <si>
    <t xml:space="preserve">Feb 06, 2028 → Mar 06, 2028</t>
  </si>
  <si>
    <t xml:space="preserve">Feb 04, 2029 → Mar 04, 2029</t>
  </si>
  <si>
    <t xml:space="preserve">Soccer &amp; World Cup — 35-Month Calendar</t>
  </si>
  <si>
    <t xml:space="preserve">FIFA World Cup 2026 (the single biggest card catalyst of the decade), Euro 2028, Women's WC 2027.</t>
  </si>
  <si>
    <t xml:space="preserve">Apr 01, 2026 → Jun 10, 2026</t>
  </si>
  <si>
    <t xml:space="preserve">May 01, 2026 → Jul 20, 2026</t>
  </si>
  <si>
    <t xml:space="preserve">Jul 20, 2026 → Oct 20, 2026</t>
  </si>
  <si>
    <t xml:space="preserve">Jul 15, 2028 → Oct 15, 2028</t>
  </si>
  <si>
    <t xml:space="preserve">Catalyst Calendar — Events that Move Prices</t>
  </si>
  <si>
    <t xml:space="preserve">Anniversaries, tournaments, film releases, license transitions. Not purchases themselves — they dictate when singles/sealed of OTHER products move.</t>
  </si>
  <si>
    <t xml:space="preserve">Event</t>
  </si>
  <si>
    <t xml:space="preserve">Category Impact</t>
  </si>
  <si>
    <t xml:space="preserve">Lead Time</t>
  </si>
  <si>
    <t xml:space="preserve">Strategy</t>
  </si>
  <si>
    <t xml:space="preserve">Star Wars Unlimited</t>
  </si>
  <si>
    <t xml:space="preserve">4-8 weeks</t>
  </si>
  <si>
    <t xml:space="preserve">Buy Grogu/Mando alt-art singles 6 weeks before film; sell 4 weeks after opening.</t>
  </si>
  <si>
    <t xml:space="preserve">All soccer cards</t>
  </si>
  <si>
    <t xml:space="preserve">3-6 months</t>
  </si>
  <si>
    <t xml:space="preserve">Position Yamal, Bellingham, Mbappé, Haaland singles BEFORE tournament. Add USMNT for home-soil bump.</t>
  </si>
  <si>
    <t xml:space="preserve">World Cup 2026 Final</t>
  </si>
  <si>
    <t xml:space="preserve">All soccer cards — correction window</t>
  </si>
  <si>
    <t xml:space="preserve">72 hours</t>
  </si>
  <si>
    <t xml:space="preserve">Buy losing-finalist singles within 72hrs of final (typically -20% immediately).</t>
  </si>
  <si>
    <t xml:space="preserve">D23 Expo 2026 (Disney fan event)</t>
  </si>
  <si>
    <t xml:space="preserve">Disney Lorcana + related</t>
  </si>
  <si>
    <t xml:space="preserve">0-30 days</t>
  </si>
  <si>
    <t xml:space="preserve">Monitor for set announcements. Limited D23-exclusive promos scalp heavily.</t>
  </si>
  <si>
    <t xml:space="preserve">Pokémon TCG 30th anniversary window</t>
  </si>
  <si>
    <t xml:space="preserve">Pokémon sealed + vintage WOTC</t>
  </si>
  <si>
    <t xml:space="preserve">6-12 months</t>
  </si>
  <si>
    <t xml:space="preserve">Preorder any anniversary product. Vintage WOTC cards typically rally 15-30% during anniversary windows.</t>
  </si>
  <si>
    <t xml:space="preserve">Super Bowl LXI (Inglewood)</t>
  </si>
  <si>
    <t xml:space="preserve">NFL RCs of competing teams</t>
  </si>
  <si>
    <t xml:space="preserve">2-4 weeks post</t>
  </si>
  <si>
    <t xml:space="preserve">Sell winning team rookies in 21 days after SB (typical +15-25% spike).</t>
  </si>
  <si>
    <t xml:space="preserve">Vintage baseball + Robinson-specific</t>
  </si>
  <si>
    <t xml:space="preserve">6 weeks</t>
  </si>
  <si>
    <t xml:space="preserve">Robinson PSA-graded vintage typically rallies. Topps issues 80th-commemorative insert subsets.</t>
  </si>
  <si>
    <t xml:space="preserve">Soccer cards — women's</t>
  </si>
  <si>
    <t xml:space="preserve">3-5 months</t>
  </si>
  <si>
    <t xml:space="preserve">Position Putellas, Bonmatí, Kerr, Trinity Rodman BEFORE tournament.</t>
  </si>
  <si>
    <t xml:space="preserve">One Piece TCG 5th anniversary + manga 30th</t>
  </si>
  <si>
    <t xml:space="preserve">One Piece TCG (double catalyst)</t>
  </si>
  <si>
    <t xml:space="preserve">Highest-confidence OP window. Alt arts typically 2-3x during anniversary.</t>
  </si>
  <si>
    <t xml:space="preserve">NBA 80th anniversary season (2026-27)</t>
  </si>
  <si>
    <t xml:space="preserve">NBA vintage + commemorative inserts</t>
  </si>
  <si>
    <t xml:space="preserve">12 months</t>
  </si>
  <si>
    <t xml:space="preserve">Jordan/Kobe/Lebron commemorative subsets issued. PSA vintage rally possible.</t>
  </si>
  <si>
    <t xml:space="preserve">21-day spike</t>
  </si>
  <si>
    <t xml:space="preserve">Standard SB playbook: sell winner rookies in 21 days.</t>
  </si>
  <si>
    <t xml:space="preserve">Lorcana 5-year anniversary (launched August 2023)</t>
  </si>
  <si>
    <t xml:space="preserve">Lorcana premium sets</t>
  </si>
  <si>
    <t xml:space="preserve">6-9 months</t>
  </si>
  <si>
    <t xml:space="preserve">Plausible premium-reprint master set. Watch for announcement Q1 2028.</t>
  </si>
  <si>
    <t xml:space="preserve">UEFA Euro 2028 (UK/Ireland)</t>
  </si>
  <si>
    <t xml:space="preserve">Soccer cards — European nationals</t>
  </si>
  <si>
    <t xml:space="preserve">European singles premium. Less impact than WC but meaningful for England, France, Spain rosters.</t>
  </si>
  <si>
    <t xml:space="preserve">Summer Olympics 2028 Los Angeles (July 14-30)</t>
  </si>
  <si>
    <t xml:space="preserve">Multi-sport singles</t>
  </si>
  <si>
    <t xml:space="preserve">4-6 months</t>
  </si>
  <si>
    <t xml:space="preserve">Biles, Ledecky, Richardson, US men's+women's basketball all pump. Olympic Topps products expected.</t>
  </si>
  <si>
    <t xml:space="preserve">Magic: The Gathering 35th anniversary (debut Aug 1993)</t>
  </si>
  <si>
    <t xml:space="preserve">Magic vintage + anniversary masters</t>
  </si>
  <si>
    <t xml:space="preserve">Plausible premium reprint set. Anniversary masters historically 2-3x launch within 24 months.</t>
  </si>
  <si>
    <t xml:space="preserve">Yu-Gi-Oh 30th anniversary (debut 1999)</t>
  </si>
  <si>
    <t xml:space="preserve">Yu-Gi-Oh all products</t>
  </si>
  <si>
    <t xml:space="preserve">MAJOR CATALYST. Konami 25th Anniversary Rarity Collection (2023-24) drove ATH prices. 30th repeats.</t>
  </si>
  <si>
    <t xml:space="preserve">Standard SB playbook.</t>
  </si>
  <si>
    <t xml:space="preserve">Scalper Watchlist — MSRP Targets During Drop Windows</t>
  </si>
  <si>
    <t xml:space="preserve">SKUs known to sell out at retail in minutes and trade at 2-5x MSRP within 30 days. These are the OpenClaw Retail Drop Monitor primary targets.</t>
  </si>
  <si>
    <t xml:space="preserve">Retailers</t>
  </si>
  <si>
    <t xml:space="preserve">MSRP</t>
  </si>
  <si>
    <t xml:space="preserve">Expected Day-30 Price</t>
  </si>
  <si>
    <t xml:space="preserve">Monitoring Channel</t>
  </si>
  <si>
    <t xml:space="preserve">Implied Multiple</t>
  </si>
  <si>
    <t xml:space="preserve">MTG Final Fantasy Collector Booster single pack</t>
  </si>
  <si>
    <t xml:space="preserve">Target, Walmart, Amazon</t>
  </si>
  <si>
    <t xml:space="preserve">OpenClaw Retail Drop Monitor + Discord #mtg-drops</t>
  </si>
  <si>
    <t xml:space="preserve">Pokémon Mega Evolution ETB (Charizard/Mewtwo lineage)</t>
  </si>
  <si>
    <t xml:space="preserve">Pokemon Center, Target endcap</t>
  </si>
  <si>
    <t xml:space="preserve">Pokemon Center direct + Target app alerts via OpenClaw</t>
  </si>
  <si>
    <t xml:space="preserve">Panini Prizm World Cup 2026 hobby box</t>
  </si>
  <si>
    <t xml:space="preserve">Dave &amp; Adam's, Blowout, Steel City</t>
  </si>
  <si>
    <t xml:space="preserve">Licensed dealer pre-order alerts</t>
  </si>
  <si>
    <t xml:space="preserve">Pokémon TCG 30th Anniversary Celebration Collection</t>
  </si>
  <si>
    <t xml:space="preserve">Pokemon Center, Target, Walmart</t>
  </si>
  <si>
    <t xml:space="preserve">Pokemon Center push alerts (mandatory membership)</t>
  </si>
  <si>
    <t xml:space="preserve">Topps NFL flagship inaugural hobby box</t>
  </si>
  <si>
    <t xml:space="preserve">Fanatics, Target, LGS</t>
  </si>
  <si>
    <t xml:space="preserve">Fanatics Collect + LGS Gamers Guild preorder list</t>
  </si>
  <si>
    <t xml:space="preserve">Prismatic Evolutions-successor Pokémon ETB</t>
  </si>
  <si>
    <t xml:space="preserve">Pokemon Center, all mass retail</t>
  </si>
  <si>
    <t xml:space="preserve">HIGH PRIORITY. OpenClaw Monitor + multi-retailer +  Pokemon Center direct</t>
  </si>
  <si>
    <t xml:space="preserve">One Piece 5th Anniversary premium products</t>
  </si>
  <si>
    <t xml:space="preserve">Bandai direct, Japanese proxies</t>
  </si>
  <si>
    <t xml:space="preserve">Buyee/Zenmarket Japanese drop + Bandai TCG+ app</t>
  </si>
  <si>
    <t xml:space="preserve">Annual Pokemon special expansion (Prismatic-pattern repeat)</t>
  </si>
  <si>
    <t xml:space="preserve">Pokemon Center direct</t>
  </si>
  <si>
    <t xml:space="preserve">MTG 35th Anniversary masters Commander boxed set</t>
  </si>
  <si>
    <t xml:space="preserve">Wizards direct + LGS</t>
  </si>
  <si>
    <t xml:space="preserve">Wizards announcement list + LGS preorder</t>
  </si>
  <si>
    <t xml:space="preserve">Topps NBA 2028-29 flagship (AJ Dybantsa RC year)</t>
  </si>
  <si>
    <t xml:space="preserve">Fanatics Collect + LGS</t>
  </si>
  <si>
    <t xml:space="preserve">Fanatics pre-order</t>
  </si>
  <si>
    <t xml:space="preserve">Yu-Gi-Oh 30th Anniversary Rarity Collection-equivalent</t>
  </si>
  <si>
    <t xml:space="preserve">Konami direct + LGS</t>
  </si>
  <si>
    <t xml:space="preserve">Konami TCG alerts + LGS preorder</t>
  </si>
  <si>
    <t xml:space="preserve">Reprint Risk — Products/Cards to AVOID Buying Now</t>
  </si>
  <si>
    <t xml:space="preserve">Reprints expected in the 35-month window. Buying raw near-mint singles of these is value-destroying — wait for the reprint and buy post-release.</t>
  </si>
  <si>
    <t xml:space="preserve">At-Risk Cards/Products</t>
  </si>
  <si>
    <t xml:space="preserve">Expected Reprint Window</t>
  </si>
  <si>
    <t xml:space="preserve">Reprint Vehicle</t>
  </si>
  <si>
    <t xml:space="preserve">What to Do Instead</t>
  </si>
  <si>
    <t xml:space="preserve">Any 151-set card (Charizard ex SIR, Blastoise ex SIR, etc.)</t>
  </si>
  <si>
    <t xml:space="preserve">Ongoing 2026-2028</t>
  </si>
  <si>
    <t xml:space="preserve">151 UPC reprints, mainline set inserts</t>
  </si>
  <si>
    <t xml:space="preserve">Wait 6-12 months post-reprint. Alt Arts from Evolving Skies/Lost Origin are safer.</t>
  </si>
  <si>
    <t xml:space="preserve">Pokemon Center exclusives that cross into retail</t>
  </si>
  <si>
    <t xml:space="preserve">Variable</t>
  </si>
  <si>
    <t xml:space="preserve">Secondary retail distribution</t>
  </si>
  <si>
    <t xml:space="preserve">Only preorder Pokemon Center direct. If it hits Target, pass.</t>
  </si>
  <si>
    <t xml:space="preserve">Commander staples outside EDHREC Top 50 (e.g., Sol Ring variants)</t>
  </si>
  <si>
    <t xml:space="preserve">Every Commander precon</t>
  </si>
  <si>
    <t xml:space="preserve">Commander precon reprints</t>
  </si>
  <si>
    <t xml:space="preserve">Buy the Commander precon containing the reprint, not the raw card beforehand.</t>
  </si>
  <si>
    <t xml:space="preserve">Format-staple fetchlands (Polluted Delta, Scalding Tarn)</t>
  </si>
  <si>
    <t xml:space="preserve">2026-2028</t>
  </si>
  <si>
    <t xml:space="preserve">Standard/Modern Horizons reprints</t>
  </si>
  <si>
    <t xml:space="preserve">Watch MH4 spoilers June 2027. Wait for reprint-driven floor.</t>
  </si>
  <si>
    <t xml:space="preserve">Yu-Gi-Oh</t>
  </si>
  <si>
    <t xml:space="preserve">Dark Magician / Blue-Eyes / Exodia reprints</t>
  </si>
  <si>
    <t xml:space="preserve">Annual (~2 per year)</t>
  </si>
  <si>
    <t xml:space="preserve">Legendary Collections, 25th/30th Anniversary products</t>
  </si>
  <si>
    <t xml:space="preserve">Only buy pre-2010 1st Edition graded. Modern reprints always coming.</t>
  </si>
  <si>
    <t xml:space="preserve">Modern meta staples not yet on banlist</t>
  </si>
  <si>
    <t xml:space="preserve">Quarterly</t>
  </si>
  <si>
    <t xml:space="preserve">Structure decks + core boosters</t>
  </si>
  <si>
    <t xml:space="preserve">Meta staples always reprint. Buy Quarter Century Secret Rares instead.</t>
  </si>
  <si>
    <t xml:space="preserve">OP-01 through OP-03 secondary singles (older meta cards)</t>
  </si>
  <si>
    <t xml:space="preserve">2026-2027</t>
  </si>
  <si>
    <t xml:space="preserve">Premium Booster reprint sets</t>
  </si>
  <si>
    <t xml:space="preserve">Bandai has reprinted older staples through Premium Boosters. Wait.</t>
  </si>
  <si>
    <t xml:space="preserve">Flesh and Blood</t>
  </si>
  <si>
    <t xml:space="preserve">Common Legendary equipment reprints</t>
  </si>
  <si>
    <t xml:space="preserve">Beyond set + History Pack cycles</t>
  </si>
  <si>
    <t xml:space="preserve">Cold Foil Legendaries from sold-out sets only. Avoid majestic reprints.</t>
  </si>
  <si>
    <t xml:space="preserve">First Chapter common-uncommon cards</t>
  </si>
  <si>
    <t xml:space="preserve">Ongoing</t>
  </si>
  <si>
    <t xml:space="preserve">Gateway Starter set + retail reprints</t>
  </si>
  <si>
    <t xml:space="preserve">Only Enchanted variants hold value. Commons always reprint.</t>
  </si>
  <si>
    <t xml:space="preserve">Topps flagship base rookies before Chrome/Heritage</t>
  </si>
  <si>
    <t xml:space="preserve">Year-round</t>
  </si>
  <si>
    <t xml:space="preserve">Multiple Topps products reissue same player base design</t>
  </si>
  <si>
    <t xml:space="preserve">Wait for Chrome/Bowman Chrome RC Refractors — not flagship base.</t>
  </si>
  <si>
    <t xml:space="preserve">Priority-Ranked Buy Queue</t>
  </si>
  <si>
    <t xml:space="preserve">Ranked by priority (1 first, then 2), then by date. Running budget total in column H — stop when budget is exhausted.</t>
  </si>
  <si>
    <t xml:space="preserve">Running Total ($)</t>
  </si>
  <si>
    <t xml:space="preserve">Total if everything is bought:</t>
  </si>
  <si>
    <t xml:space="preserve">Months in calendar:</t>
  </si>
  <si>
    <t xml:space="preserve">Implied monthly budget: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</si>
</sst>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"/>
    <numFmt numFmtId="167" formatCode="yyyy\-mm\-dd"/>
    <numFmt numFmtId="168" formatCode="0.0\x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2"/>
      <color rgb="FF8B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1E2761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i val="true"/>
      <sz val="12"/>
      <color rgb="FF8B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6"/>
      <color rgb="FF1E2761"/>
      <name val="Calibri"/>
      <family val="0"/>
      <charset val="1"/>
    </font>
    <font>
      <i val="true"/>
      <sz val="11"/>
      <color rgb="FF8B0000"/>
      <name val="Calibri"/>
      <family val="0"/>
      <charset val="1"/>
    </font>
    <font>
      <b val="true"/>
      <sz val="14"/>
      <color rgb="FF1E276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CADCFC"/>
        <bgColor rgb="FFC8E6C9"/>
      </patternFill>
    </fill>
    <fill>
      <patternFill patternType="solid">
        <fgColor rgb="FFDCEDC8"/>
        <bgColor rgb="FFC8E6C9"/>
      </patternFill>
    </fill>
    <fill>
      <patternFill patternType="solid">
        <fgColor rgb="FFFFF9C4"/>
        <bgColor rgb="FFFFFF99"/>
      </patternFill>
    </fill>
    <fill>
      <patternFill patternType="solid">
        <fgColor rgb="FFECEFF1"/>
        <bgColor rgb="FFDCEDC8"/>
      </patternFill>
    </fill>
    <fill>
      <patternFill patternType="solid">
        <fgColor rgb="FFFFCDD2"/>
        <bgColor rgb="FFCCCCCC"/>
      </patternFill>
    </fill>
    <fill>
      <patternFill patternType="solid">
        <fgColor rgb="FFC8E6C9"/>
        <bgColor rgb="FFDCED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E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DCEDC8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DCEDC8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CEFF1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DCEDC8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60"/>
    <col collapsed="false" customWidth="true" hidden="false" outlineLevel="0" max="6" min="3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6" t="s">
        <v>4</v>
      </c>
      <c r="B7" s="7" t="n">
        <f aca="false">COUNTA(Master_Calendar!B5:B200)-1</f>
        <v>74</v>
      </c>
    </row>
    <row r="8" customFormat="false" ht="15" hidden="false" customHeight="true" outlineLevel="0" collapsed="false">
      <c r="A8" s="6" t="s">
        <v>5</v>
      </c>
      <c r="B8" s="7" t="n">
        <f aca="false">COUNTIF(Master_Calendar!L5:L200,"1 — Must buy")</f>
        <v>21</v>
      </c>
    </row>
    <row r="9" customFormat="false" ht="15" hidden="false" customHeight="true" outlineLevel="0" collapsed="false">
      <c r="A9" s="6" t="s">
        <v>6</v>
      </c>
      <c r="B9" s="7" t="n">
        <f aca="false">COUNTIF(Master_Calendar!L5:L200,"2 — Strong buy")</f>
        <v>18</v>
      </c>
    </row>
    <row r="10" customFormat="false" ht="15" hidden="false" customHeight="true" outlineLevel="0" collapsed="false">
      <c r="A10" s="6" t="s">
        <v>7</v>
      </c>
      <c r="B10" s="7" t="n">
        <f aca="false">COUNTIF(Master_Calendar!L5:L200,"5 — Avoid")</f>
        <v>1</v>
      </c>
    </row>
    <row r="11" customFormat="false" ht="15" hidden="false" customHeight="true" outlineLevel="0" collapsed="false">
      <c r="A11" s="6" t="s">
        <v>8</v>
      </c>
      <c r="B11" s="8" t="n">
        <f aca="false">SUM(Master_Calendar!M5:M200)</f>
        <v>5422</v>
      </c>
    </row>
    <row r="14" customFormat="false" ht="15" hidden="false" customHeight="true" outlineLevel="0" collapsed="false">
      <c r="A14" s="5" t="s">
        <v>9</v>
      </c>
    </row>
    <row r="15" customFormat="false" ht="15" hidden="false" customHeight="true" outlineLevel="0" collapsed="false">
      <c r="A15" s="9" t="s">
        <v>10</v>
      </c>
      <c r="B15" s="9" t="s">
        <v>11</v>
      </c>
    </row>
    <row r="16" customFormat="false" ht="15" hidden="false" customHeight="true" outlineLevel="0" collapsed="false">
      <c r="A16" s="10" t="s">
        <v>12</v>
      </c>
      <c r="B16" s="11" t="s">
        <v>13</v>
      </c>
    </row>
    <row r="17" customFormat="false" ht="15" hidden="false" customHeight="true" outlineLevel="0" collapsed="false">
      <c r="A17" s="10" t="s">
        <v>14</v>
      </c>
      <c r="B17" s="11" t="s">
        <v>15</v>
      </c>
    </row>
    <row r="18" customFormat="false" ht="15" hidden="false" customHeight="true" outlineLevel="0" collapsed="false">
      <c r="A18" s="10" t="s">
        <v>16</v>
      </c>
      <c r="B18" s="11" t="s">
        <v>17</v>
      </c>
    </row>
    <row r="19" customFormat="false" ht="23.25" hidden="false" customHeight="true" outlineLevel="0" collapsed="false">
      <c r="A19" s="10" t="s">
        <v>18</v>
      </c>
      <c r="B19" s="11" t="s">
        <v>19</v>
      </c>
    </row>
    <row r="20" customFormat="false" ht="15" hidden="false" customHeight="true" outlineLevel="0" collapsed="false">
      <c r="A20" s="10" t="s">
        <v>20</v>
      </c>
      <c r="B20" s="11" t="s">
        <v>21</v>
      </c>
    </row>
    <row r="21" customFormat="false" ht="15" hidden="false" customHeight="true" outlineLevel="0" collapsed="false">
      <c r="A21" s="10" t="s">
        <v>22</v>
      </c>
      <c r="B21" s="11" t="s">
        <v>23</v>
      </c>
    </row>
    <row r="22" customFormat="false" ht="15" hidden="false" customHeight="true" outlineLevel="0" collapsed="false">
      <c r="A22" s="10" t="s">
        <v>24</v>
      </c>
      <c r="B22" s="11" t="s">
        <v>25</v>
      </c>
    </row>
    <row r="25" customFormat="false" ht="15" hidden="false" customHeight="true" outlineLevel="0" collapsed="false">
      <c r="A25" s="5" t="s">
        <v>26</v>
      </c>
    </row>
    <row r="26" customFormat="false" ht="15" hidden="false" customHeight="true" outlineLevel="0" collapsed="false">
      <c r="A26" s="9" t="s">
        <v>27</v>
      </c>
      <c r="B26" s="9" t="s">
        <v>28</v>
      </c>
    </row>
    <row r="27" customFormat="false" ht="15" hidden="false" customHeight="true" outlineLevel="0" collapsed="false">
      <c r="A27" s="10" t="s">
        <v>29</v>
      </c>
      <c r="B27" s="11" t="s">
        <v>30</v>
      </c>
    </row>
    <row r="28" customFormat="false" ht="15" hidden="false" customHeight="true" outlineLevel="0" collapsed="false">
      <c r="A28" s="10" t="s">
        <v>31</v>
      </c>
      <c r="B28" s="11" t="s">
        <v>32</v>
      </c>
    </row>
    <row r="29" customFormat="false" ht="15" hidden="false" customHeight="true" outlineLevel="0" collapsed="false">
      <c r="A29" s="10" t="s">
        <v>33</v>
      </c>
      <c r="B29" s="11" t="s">
        <v>34</v>
      </c>
    </row>
    <row r="30" customFormat="false" ht="15" hidden="false" customHeight="true" outlineLevel="0" collapsed="false">
      <c r="A30" s="10" t="s">
        <v>35</v>
      </c>
      <c r="B30" s="11" t="s">
        <v>36</v>
      </c>
    </row>
    <row r="31" customFormat="false" ht="15" hidden="false" customHeight="true" outlineLevel="0" collapsed="false">
      <c r="A31" s="10" t="s">
        <v>37</v>
      </c>
      <c r="B31" s="11" t="s">
        <v>38</v>
      </c>
    </row>
    <row r="32" customFormat="false" ht="15" hidden="false" customHeight="true" outlineLevel="0" collapsed="false">
      <c r="A32" s="10" t="s">
        <v>39</v>
      </c>
      <c r="B32" s="11" t="s">
        <v>40</v>
      </c>
    </row>
    <row r="33" customFormat="false" ht="15" hidden="false" customHeight="true" outlineLevel="0" collapsed="false">
      <c r="A33" s="10" t="s">
        <v>41</v>
      </c>
      <c r="B33" s="11" t="s">
        <v>42</v>
      </c>
    </row>
    <row r="34" customFormat="false" ht="15" hidden="false" customHeight="true" outlineLevel="0" collapsed="false">
      <c r="A34" s="10" t="s">
        <v>43</v>
      </c>
      <c r="B34" s="11" t="s">
        <v>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0"/>
  </cols>
  <sheetData>
    <row r="1" customFormat="false" ht="22.05" hidden="false" customHeight="false" outlineLevel="0" collapsed="false">
      <c r="A1" s="12" t="s">
        <v>45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46</v>
      </c>
      <c r="B2" s="13"/>
      <c r="C2" s="13"/>
      <c r="D2" s="13"/>
      <c r="E2" s="13"/>
    </row>
    <row r="4" customFormat="false" ht="15" hidden="false" customHeight="false" outlineLevel="0" collapsed="false">
      <c r="A4" s="14" t="s">
        <v>2</v>
      </c>
    </row>
    <row r="6" customFormat="false" ht="15" hidden="false" customHeight="false" outlineLevel="0" collapsed="false">
      <c r="A6" s="15" t="s">
        <v>47</v>
      </c>
      <c r="B6" s="15" t="s">
        <v>48</v>
      </c>
    </row>
    <row r="7" customFormat="false" ht="35.05" hidden="false" customHeight="false" outlineLevel="0" collapsed="false">
      <c r="A7" s="16" t="n">
        <v>1</v>
      </c>
      <c r="B7" s="17" t="s">
        <v>49</v>
      </c>
    </row>
    <row r="8" customFormat="false" ht="35.05" hidden="false" customHeight="false" outlineLevel="0" collapsed="false">
      <c r="A8" s="16" t="n">
        <v>2</v>
      </c>
      <c r="B8" s="17" t="s">
        <v>50</v>
      </c>
    </row>
    <row r="9" customFormat="false" ht="23.85" hidden="false" customHeight="false" outlineLevel="0" collapsed="false">
      <c r="A9" s="16" t="n">
        <v>3</v>
      </c>
      <c r="B9" s="17" t="s">
        <v>51</v>
      </c>
    </row>
    <row r="10" customFormat="false" ht="23.85" hidden="false" customHeight="false" outlineLevel="0" collapsed="false">
      <c r="A10" s="16" t="n">
        <v>4</v>
      </c>
      <c r="B10" s="17" t="s">
        <v>52</v>
      </c>
    </row>
    <row r="11" customFormat="false" ht="23.85" hidden="false" customHeight="false" outlineLevel="0" collapsed="false">
      <c r="A11" s="16" t="n">
        <v>5</v>
      </c>
      <c r="B11" s="17" t="s">
        <v>53</v>
      </c>
    </row>
    <row r="12" customFormat="false" ht="23.85" hidden="false" customHeight="false" outlineLevel="0" collapsed="false">
      <c r="A12" s="16" t="n">
        <v>6</v>
      </c>
      <c r="B12" s="17" t="s">
        <v>54</v>
      </c>
    </row>
    <row r="13" customFormat="false" ht="23.85" hidden="false" customHeight="false" outlineLevel="0" collapsed="false">
      <c r="A13" s="16" t="n">
        <v>7</v>
      </c>
      <c r="B13" s="17" t="s">
        <v>55</v>
      </c>
    </row>
    <row r="14" customFormat="false" ht="23.85" hidden="false" customHeight="false" outlineLevel="0" collapsed="false">
      <c r="A14" s="16" t="n">
        <v>8</v>
      </c>
      <c r="B14" s="17" t="s">
        <v>56</v>
      </c>
    </row>
    <row r="16" customFormat="false" ht="15" hidden="false" customHeight="false" outlineLevel="0" collapsed="false">
      <c r="A16" s="14" t="s">
        <v>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5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9"/>
    <col collapsed="false" customWidth="true" hidden="false" outlineLevel="0" max="7" min="7" style="1" width="35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1" min="10" style="1" width="13"/>
    <col collapsed="false" customWidth="true" hidden="false" outlineLevel="0" max="12" min="12" style="1" width="16"/>
    <col collapsed="false" customWidth="true" hidden="false" outlineLevel="0" max="13" min="13" style="1" width="10"/>
    <col collapsed="false" customWidth="true" hidden="false" outlineLevel="0" max="14" min="14" style="1" width="45"/>
  </cols>
  <sheetData>
    <row r="1" customFormat="false" ht="19.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39" hidden="false" customHeight="true" outlineLevel="0" collapsed="false">
      <c r="A4" s="9" t="s">
        <v>59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70</v>
      </c>
      <c r="M4" s="9" t="s">
        <v>71</v>
      </c>
      <c r="N4" s="9" t="s">
        <v>72</v>
      </c>
    </row>
    <row r="5" customFormat="false" ht="23.25" hidden="false" customHeight="true" outlineLevel="0" collapsed="false">
      <c r="A5" s="18" t="n">
        <v>46129</v>
      </c>
      <c r="B5" s="19" t="s">
        <v>73</v>
      </c>
      <c r="C5" s="11" t="s">
        <v>74</v>
      </c>
      <c r="D5" s="19" t="s">
        <v>75</v>
      </c>
      <c r="E5" s="19" t="s">
        <v>76</v>
      </c>
      <c r="F5" s="20" t="n">
        <v>30</v>
      </c>
      <c r="G5" s="11" t="s">
        <v>77</v>
      </c>
      <c r="H5" s="19" t="s">
        <v>78</v>
      </c>
      <c r="I5" s="19" t="s">
        <v>31</v>
      </c>
      <c r="J5" s="18" t="n">
        <v>46129</v>
      </c>
      <c r="K5" s="18" t="n">
        <v>46136</v>
      </c>
      <c r="L5" s="19" t="s">
        <v>79</v>
      </c>
      <c r="M5" s="20" t="n">
        <v>30</v>
      </c>
      <c r="N5" s="11" t="s">
        <v>80</v>
      </c>
    </row>
    <row r="6" customFormat="false" ht="23.25" hidden="false" customHeight="true" outlineLevel="0" collapsed="false">
      <c r="A6" s="18" t="n">
        <v>46136</v>
      </c>
      <c r="B6" s="19" t="s">
        <v>73</v>
      </c>
      <c r="C6" s="11" t="s">
        <v>81</v>
      </c>
      <c r="D6" s="19" t="s">
        <v>75</v>
      </c>
      <c r="E6" s="19" t="s">
        <v>82</v>
      </c>
      <c r="F6" s="20" t="n">
        <v>165</v>
      </c>
      <c r="G6" s="11" t="s">
        <v>83</v>
      </c>
      <c r="H6" s="19" t="s">
        <v>84</v>
      </c>
      <c r="I6" s="19" t="s">
        <v>33</v>
      </c>
      <c r="J6" s="18" t="n">
        <v>46227</v>
      </c>
      <c r="K6" s="18" t="n">
        <v>46319</v>
      </c>
      <c r="L6" s="19" t="s">
        <v>85</v>
      </c>
      <c r="M6" s="20" t="n">
        <v>120</v>
      </c>
      <c r="N6" s="11" t="s">
        <v>86</v>
      </c>
    </row>
    <row r="7" customFormat="false" ht="23.25" hidden="false" customHeight="true" outlineLevel="0" collapsed="false">
      <c r="A7" s="18" t="n">
        <v>46136</v>
      </c>
      <c r="B7" s="19" t="s">
        <v>73</v>
      </c>
      <c r="C7" s="11" t="s">
        <v>87</v>
      </c>
      <c r="D7" s="19" t="s">
        <v>75</v>
      </c>
      <c r="E7" s="19" t="s">
        <v>88</v>
      </c>
      <c r="F7" s="20" t="n">
        <v>324</v>
      </c>
      <c r="G7" s="11" t="s">
        <v>89</v>
      </c>
      <c r="H7" s="19" t="s">
        <v>78</v>
      </c>
      <c r="I7" s="19" t="s">
        <v>41</v>
      </c>
      <c r="J7" s="18" t="n">
        <v>46227</v>
      </c>
      <c r="K7" s="18" t="n">
        <v>46501</v>
      </c>
      <c r="L7" s="19" t="s">
        <v>90</v>
      </c>
      <c r="M7" s="20" t="n">
        <v>0</v>
      </c>
      <c r="N7" s="11" t="s">
        <v>91</v>
      </c>
    </row>
    <row r="8" customFormat="false" ht="23.25" hidden="false" customHeight="true" outlineLevel="0" collapsed="false">
      <c r="A8" s="18" t="n">
        <v>46136</v>
      </c>
      <c r="B8" s="19" t="s">
        <v>73</v>
      </c>
      <c r="C8" s="11" t="s">
        <v>92</v>
      </c>
      <c r="D8" s="19" t="s">
        <v>75</v>
      </c>
      <c r="E8" s="19" t="s">
        <v>93</v>
      </c>
      <c r="F8" s="20" t="n">
        <v>50</v>
      </c>
      <c r="G8" s="11" t="s">
        <v>94</v>
      </c>
      <c r="H8" s="19" t="s">
        <v>84</v>
      </c>
      <c r="I8" s="19" t="s">
        <v>31</v>
      </c>
      <c r="J8" s="18" t="n">
        <v>46136</v>
      </c>
      <c r="K8" s="18" t="n">
        <v>46197</v>
      </c>
      <c r="L8" s="19" t="s">
        <v>79</v>
      </c>
      <c r="M8" s="20" t="n">
        <v>50</v>
      </c>
      <c r="N8" s="11" t="s">
        <v>95</v>
      </c>
    </row>
    <row r="9" customFormat="false" ht="23.25" hidden="false" customHeight="true" outlineLevel="0" collapsed="false">
      <c r="A9" s="18" t="n">
        <v>46136</v>
      </c>
      <c r="B9" s="19" t="s">
        <v>73</v>
      </c>
      <c r="C9" s="11" t="s">
        <v>96</v>
      </c>
      <c r="D9" s="19" t="s">
        <v>75</v>
      </c>
      <c r="E9" s="19" t="s">
        <v>97</v>
      </c>
      <c r="F9" s="20" t="n">
        <v>58</v>
      </c>
      <c r="G9" s="11" t="s">
        <v>98</v>
      </c>
      <c r="H9" s="19" t="s">
        <v>84</v>
      </c>
      <c r="I9" s="19" t="s">
        <v>43</v>
      </c>
      <c r="J9" s="18"/>
      <c r="K9" s="18"/>
      <c r="L9" s="19" t="s">
        <v>99</v>
      </c>
      <c r="M9" s="20" t="n">
        <v>0</v>
      </c>
      <c r="N9" s="11" t="s">
        <v>100</v>
      </c>
    </row>
    <row r="10" customFormat="false" ht="23.25" hidden="false" customHeight="true" outlineLevel="0" collapsed="false">
      <c r="A10" s="18" t="n">
        <v>46157</v>
      </c>
      <c r="B10" s="19" t="s">
        <v>101</v>
      </c>
      <c r="C10" s="11" t="s">
        <v>102</v>
      </c>
      <c r="D10" s="19" t="s">
        <v>103</v>
      </c>
      <c r="E10" s="19" t="s">
        <v>104</v>
      </c>
      <c r="F10" s="20" t="n">
        <v>50</v>
      </c>
      <c r="G10" s="11" t="s">
        <v>105</v>
      </c>
      <c r="H10" s="19" t="s">
        <v>84</v>
      </c>
      <c r="I10" s="19" t="s">
        <v>31</v>
      </c>
      <c r="J10" s="18" t="n">
        <v>46157</v>
      </c>
      <c r="K10" s="18" t="n">
        <v>46188</v>
      </c>
      <c r="L10" s="19" t="s">
        <v>79</v>
      </c>
      <c r="M10" s="20" t="n">
        <v>50</v>
      </c>
      <c r="N10" s="11" t="s">
        <v>106</v>
      </c>
    </row>
    <row r="11" customFormat="false" ht="23.25" hidden="false" customHeight="true" outlineLevel="0" collapsed="false">
      <c r="A11" s="18" t="n">
        <v>46157</v>
      </c>
      <c r="B11" s="19" t="s">
        <v>101</v>
      </c>
      <c r="C11" s="11" t="s">
        <v>107</v>
      </c>
      <c r="D11" s="19" t="s">
        <v>103</v>
      </c>
      <c r="E11" s="19" t="s">
        <v>108</v>
      </c>
      <c r="F11" s="20" t="n">
        <v>145</v>
      </c>
      <c r="G11" s="11" t="s">
        <v>109</v>
      </c>
      <c r="H11" s="19" t="s">
        <v>84</v>
      </c>
      <c r="I11" s="19" t="s">
        <v>33</v>
      </c>
      <c r="J11" s="18" t="n">
        <v>46249</v>
      </c>
      <c r="K11" s="18" t="n">
        <v>46341</v>
      </c>
      <c r="L11" s="19" t="s">
        <v>85</v>
      </c>
      <c r="M11" s="20" t="n">
        <v>140</v>
      </c>
      <c r="N11" s="11" t="s">
        <v>110</v>
      </c>
    </row>
    <row r="12" customFormat="false" ht="23.25" hidden="false" customHeight="true" outlineLevel="0" collapsed="false">
      <c r="A12" s="18" t="n">
        <v>46164</v>
      </c>
      <c r="B12" s="19" t="s">
        <v>111</v>
      </c>
      <c r="C12" s="11" t="s">
        <v>112</v>
      </c>
      <c r="D12" s="19" t="s">
        <v>113</v>
      </c>
      <c r="E12" s="19" t="s">
        <v>108</v>
      </c>
      <c r="F12" s="20" t="n">
        <v>120</v>
      </c>
      <c r="G12" s="11" t="s">
        <v>114</v>
      </c>
      <c r="H12" s="19" t="s">
        <v>78</v>
      </c>
      <c r="I12" s="19" t="s">
        <v>29</v>
      </c>
      <c r="J12" s="18" t="n">
        <v>46134</v>
      </c>
      <c r="K12" s="18" t="n">
        <v>46164</v>
      </c>
      <c r="L12" s="19" t="s">
        <v>79</v>
      </c>
      <c r="M12" s="20" t="n">
        <v>120</v>
      </c>
      <c r="N12" s="11" t="s">
        <v>115</v>
      </c>
    </row>
    <row r="13" customFormat="false" ht="23.25" hidden="false" customHeight="true" outlineLevel="0" collapsed="false">
      <c r="A13" s="18" t="n">
        <v>46164</v>
      </c>
      <c r="B13" s="19" t="s">
        <v>116</v>
      </c>
      <c r="C13" s="11" t="s">
        <v>117</v>
      </c>
      <c r="D13" s="19" t="s">
        <v>118</v>
      </c>
      <c r="E13" s="19" t="s">
        <v>119</v>
      </c>
      <c r="F13" s="20" t="n">
        <v>0</v>
      </c>
      <c r="G13" s="11" t="s">
        <v>120</v>
      </c>
      <c r="H13" s="19"/>
      <c r="I13" s="19" t="s">
        <v>41</v>
      </c>
      <c r="J13" s="18" t="n">
        <v>46164</v>
      </c>
      <c r="K13" s="18" t="n">
        <v>46265</v>
      </c>
      <c r="L13" s="19" t="s">
        <v>90</v>
      </c>
      <c r="M13" s="20" t="n">
        <v>0</v>
      </c>
      <c r="N13" s="11" t="s">
        <v>121</v>
      </c>
    </row>
    <row r="14" customFormat="false" ht="23.25" hidden="false" customHeight="true" outlineLevel="0" collapsed="false">
      <c r="A14" s="18" t="n">
        <v>46174</v>
      </c>
      <c r="B14" s="19" t="s">
        <v>122</v>
      </c>
      <c r="C14" s="11" t="s">
        <v>123</v>
      </c>
      <c r="D14" s="19" t="s">
        <v>124</v>
      </c>
      <c r="E14" s="19" t="s">
        <v>125</v>
      </c>
      <c r="F14" s="20" t="n">
        <v>15</v>
      </c>
      <c r="G14" s="11" t="s">
        <v>126</v>
      </c>
      <c r="H14" s="19" t="s">
        <v>84</v>
      </c>
      <c r="I14" s="19" t="s">
        <v>31</v>
      </c>
      <c r="J14" s="18" t="n">
        <v>46113</v>
      </c>
      <c r="K14" s="18" t="n">
        <v>46183</v>
      </c>
      <c r="L14" s="19" t="s">
        <v>79</v>
      </c>
      <c r="M14" s="20" t="n">
        <v>30</v>
      </c>
      <c r="N14" s="11" t="s">
        <v>127</v>
      </c>
    </row>
    <row r="15" customFormat="false" ht="23.25" hidden="false" customHeight="true" outlineLevel="0" collapsed="false">
      <c r="A15" s="18" t="n">
        <v>46184</v>
      </c>
      <c r="B15" s="19" t="s">
        <v>128</v>
      </c>
      <c r="C15" s="11" t="s">
        <v>129</v>
      </c>
      <c r="D15" s="19" t="s">
        <v>130</v>
      </c>
      <c r="E15" s="19" t="s">
        <v>131</v>
      </c>
      <c r="F15" s="20" t="n">
        <v>0</v>
      </c>
      <c r="G15" s="11" t="s">
        <v>132</v>
      </c>
      <c r="H15" s="19"/>
      <c r="I15" s="19" t="s">
        <v>41</v>
      </c>
      <c r="J15" s="18" t="n">
        <v>46184</v>
      </c>
      <c r="K15" s="18" t="n">
        <v>46222</v>
      </c>
      <c r="L15" s="19" t="s">
        <v>133</v>
      </c>
      <c r="M15" s="20" t="n">
        <v>0</v>
      </c>
      <c r="N15" s="11" t="s">
        <v>134</v>
      </c>
    </row>
    <row r="16" customFormat="false" ht="34.5" hidden="false" customHeight="true" outlineLevel="0" collapsed="false">
      <c r="A16" s="18" t="n">
        <v>46186</v>
      </c>
      <c r="B16" s="19" t="s">
        <v>73</v>
      </c>
      <c r="C16" s="11" t="s">
        <v>135</v>
      </c>
      <c r="D16" s="19" t="s">
        <v>75</v>
      </c>
      <c r="E16" s="19" t="s">
        <v>136</v>
      </c>
      <c r="F16" s="20" t="n">
        <v>480</v>
      </c>
      <c r="G16" s="11" t="s">
        <v>137</v>
      </c>
      <c r="H16" s="19" t="s">
        <v>138</v>
      </c>
      <c r="I16" s="19" t="s">
        <v>29</v>
      </c>
      <c r="J16" s="18" t="n">
        <v>46127</v>
      </c>
      <c r="K16" s="18" t="n">
        <v>46186</v>
      </c>
      <c r="L16" s="19" t="s">
        <v>133</v>
      </c>
      <c r="M16" s="20" t="n">
        <v>120</v>
      </c>
      <c r="N16" s="11" t="s">
        <v>139</v>
      </c>
    </row>
    <row r="17" customFormat="false" ht="23.25" hidden="false" customHeight="true" outlineLevel="0" collapsed="false">
      <c r="A17" s="18" t="n">
        <v>46186</v>
      </c>
      <c r="B17" s="19" t="s">
        <v>73</v>
      </c>
      <c r="C17" s="11" t="s">
        <v>140</v>
      </c>
      <c r="D17" s="19" t="s">
        <v>75</v>
      </c>
      <c r="E17" s="19" t="s">
        <v>93</v>
      </c>
      <c r="F17" s="20" t="n">
        <v>75</v>
      </c>
      <c r="G17" s="11" t="s">
        <v>141</v>
      </c>
      <c r="H17" s="19" t="s">
        <v>138</v>
      </c>
      <c r="I17" s="19" t="s">
        <v>29</v>
      </c>
      <c r="J17" s="18" t="n">
        <v>46127</v>
      </c>
      <c r="K17" s="18" t="n">
        <v>46186</v>
      </c>
      <c r="L17" s="19" t="s">
        <v>133</v>
      </c>
      <c r="M17" s="20" t="n">
        <v>75</v>
      </c>
      <c r="N17" s="11" t="s">
        <v>142</v>
      </c>
    </row>
    <row r="18" customFormat="false" ht="23.25" hidden="false" customHeight="true" outlineLevel="0" collapsed="false">
      <c r="A18" s="18" t="n">
        <v>46188</v>
      </c>
      <c r="B18" s="19" t="s">
        <v>143</v>
      </c>
      <c r="C18" s="11" t="s">
        <v>144</v>
      </c>
      <c r="D18" s="19" t="s">
        <v>145</v>
      </c>
      <c r="E18" s="19" t="s">
        <v>146</v>
      </c>
      <c r="F18" s="20" t="n">
        <v>50</v>
      </c>
      <c r="G18" s="11" t="s">
        <v>147</v>
      </c>
      <c r="H18" s="19" t="s">
        <v>138</v>
      </c>
      <c r="I18" s="19" t="s">
        <v>29</v>
      </c>
      <c r="J18" s="18" t="n">
        <v>46143</v>
      </c>
      <c r="K18" s="18" t="n">
        <v>46188</v>
      </c>
      <c r="L18" s="19" t="s">
        <v>133</v>
      </c>
      <c r="M18" s="20" t="n">
        <v>100</v>
      </c>
      <c r="N18" s="11" t="s">
        <v>148</v>
      </c>
    </row>
    <row r="19" customFormat="false" ht="23.25" hidden="false" customHeight="true" outlineLevel="0" collapsed="false">
      <c r="A19" s="18" t="n">
        <v>46188</v>
      </c>
      <c r="B19" s="19" t="s">
        <v>143</v>
      </c>
      <c r="C19" s="11" t="s">
        <v>149</v>
      </c>
      <c r="D19" s="19" t="s">
        <v>145</v>
      </c>
      <c r="E19" s="19" t="s">
        <v>150</v>
      </c>
      <c r="F19" s="20" t="n">
        <v>27</v>
      </c>
      <c r="G19" s="11" t="s">
        <v>151</v>
      </c>
      <c r="H19" s="19" t="s">
        <v>78</v>
      </c>
      <c r="I19" s="19" t="s">
        <v>31</v>
      </c>
      <c r="J19" s="18" t="n">
        <v>46188</v>
      </c>
      <c r="K19" s="18" t="n">
        <v>46218</v>
      </c>
      <c r="L19" s="19" t="s">
        <v>85</v>
      </c>
      <c r="M19" s="20" t="n">
        <v>27</v>
      </c>
      <c r="N19" s="11" t="s">
        <v>152</v>
      </c>
    </row>
    <row r="20" customFormat="false" ht="23.25" hidden="false" customHeight="true" outlineLevel="0" collapsed="false">
      <c r="A20" s="18" t="n">
        <v>46192</v>
      </c>
      <c r="B20" s="19" t="s">
        <v>153</v>
      </c>
      <c r="C20" s="11" t="s">
        <v>154</v>
      </c>
      <c r="D20" s="19" t="s">
        <v>155</v>
      </c>
      <c r="E20" s="19" t="s">
        <v>156</v>
      </c>
      <c r="F20" s="20" t="n">
        <v>110</v>
      </c>
      <c r="G20" s="11" t="s">
        <v>157</v>
      </c>
      <c r="H20" s="19" t="s">
        <v>84</v>
      </c>
      <c r="I20" s="19" t="s">
        <v>31</v>
      </c>
      <c r="J20" s="18" t="n">
        <v>46192</v>
      </c>
      <c r="K20" s="18" t="n">
        <v>46284</v>
      </c>
      <c r="L20" s="19" t="s">
        <v>85</v>
      </c>
      <c r="M20" s="20" t="n">
        <v>110</v>
      </c>
      <c r="N20" s="11" t="s">
        <v>158</v>
      </c>
    </row>
    <row r="21" customFormat="false" ht="23.25" hidden="false" customHeight="true" outlineLevel="0" collapsed="false">
      <c r="A21" s="18" t="n">
        <v>46222</v>
      </c>
      <c r="B21" s="19" t="s">
        <v>128</v>
      </c>
      <c r="C21" s="11" t="s">
        <v>159</v>
      </c>
      <c r="D21" s="19" t="s">
        <v>130</v>
      </c>
      <c r="E21" s="19" t="s">
        <v>160</v>
      </c>
      <c r="F21" s="20" t="n">
        <v>0</v>
      </c>
      <c r="G21" s="11" t="s">
        <v>161</v>
      </c>
      <c r="H21" s="19"/>
      <c r="I21" s="19" t="s">
        <v>41</v>
      </c>
      <c r="J21" s="18" t="n">
        <v>46222</v>
      </c>
      <c r="K21" s="18" t="n">
        <v>46295</v>
      </c>
      <c r="L21" s="19" t="s">
        <v>133</v>
      </c>
      <c r="M21" s="20" t="n">
        <v>0</v>
      </c>
      <c r="N21" s="11" t="s">
        <v>162</v>
      </c>
    </row>
    <row r="22" customFormat="false" ht="34.5" hidden="false" customHeight="true" outlineLevel="0" collapsed="false">
      <c r="A22" s="18" t="n">
        <v>46223</v>
      </c>
      <c r="B22" s="19" t="s">
        <v>122</v>
      </c>
      <c r="C22" s="11" t="s">
        <v>163</v>
      </c>
      <c r="D22" s="19" t="s">
        <v>124</v>
      </c>
      <c r="E22" s="19" t="s">
        <v>164</v>
      </c>
      <c r="F22" s="20" t="n">
        <v>350</v>
      </c>
      <c r="G22" s="11" t="s">
        <v>165</v>
      </c>
      <c r="H22" s="19" t="s">
        <v>138</v>
      </c>
      <c r="I22" s="19" t="s">
        <v>29</v>
      </c>
      <c r="J22" s="18" t="n">
        <v>46143</v>
      </c>
      <c r="K22" s="18" t="n">
        <v>46223</v>
      </c>
      <c r="L22" s="19" t="s">
        <v>133</v>
      </c>
      <c r="M22" s="20" t="n">
        <v>180</v>
      </c>
      <c r="N22" s="11" t="s">
        <v>166</v>
      </c>
    </row>
    <row r="23" customFormat="false" ht="23.25" hidden="false" customHeight="true" outlineLevel="0" collapsed="false">
      <c r="A23" s="18" t="n">
        <v>46223</v>
      </c>
      <c r="B23" s="19" t="s">
        <v>122</v>
      </c>
      <c r="C23" s="11" t="s">
        <v>167</v>
      </c>
      <c r="D23" s="19" t="s">
        <v>124</v>
      </c>
      <c r="E23" s="19" t="s">
        <v>156</v>
      </c>
      <c r="F23" s="20" t="n">
        <v>280</v>
      </c>
      <c r="G23" s="11" t="s">
        <v>168</v>
      </c>
      <c r="H23" s="19" t="s">
        <v>78</v>
      </c>
      <c r="I23" s="19" t="s">
        <v>31</v>
      </c>
      <c r="J23" s="18" t="n">
        <v>46223</v>
      </c>
      <c r="K23" s="18" t="n">
        <v>46315</v>
      </c>
      <c r="L23" s="19" t="s">
        <v>79</v>
      </c>
      <c r="M23" s="20" t="n">
        <v>140</v>
      </c>
      <c r="N23" s="11" t="s">
        <v>169</v>
      </c>
    </row>
    <row r="24" customFormat="false" ht="23.25" hidden="false" customHeight="true" outlineLevel="0" collapsed="false">
      <c r="A24" s="18" t="n">
        <v>46223</v>
      </c>
      <c r="B24" s="19" t="s">
        <v>122</v>
      </c>
      <c r="C24" s="11" t="s">
        <v>170</v>
      </c>
      <c r="D24" s="19" t="s">
        <v>124</v>
      </c>
      <c r="E24" s="19" t="s">
        <v>171</v>
      </c>
      <c r="F24" s="20" t="n">
        <v>25</v>
      </c>
      <c r="G24" s="11" t="s">
        <v>172</v>
      </c>
      <c r="H24" s="19" t="s">
        <v>84</v>
      </c>
      <c r="I24" s="19" t="s">
        <v>31</v>
      </c>
      <c r="J24" s="18" t="n">
        <v>46223</v>
      </c>
      <c r="K24" s="18" t="n">
        <v>46315</v>
      </c>
      <c r="L24" s="19" t="s">
        <v>85</v>
      </c>
      <c r="M24" s="20" t="n">
        <v>75</v>
      </c>
      <c r="N24" s="11" t="s">
        <v>173</v>
      </c>
    </row>
    <row r="25" customFormat="false" ht="23.25" hidden="false" customHeight="true" outlineLevel="0" collapsed="false">
      <c r="A25" s="18" t="n">
        <v>46228</v>
      </c>
      <c r="B25" s="19" t="s">
        <v>73</v>
      </c>
      <c r="C25" s="11" t="s">
        <v>174</v>
      </c>
      <c r="D25" s="19" t="s">
        <v>75</v>
      </c>
      <c r="E25" s="19" t="s">
        <v>136</v>
      </c>
      <c r="F25" s="20" t="n">
        <v>480</v>
      </c>
      <c r="G25" s="11" t="s">
        <v>175</v>
      </c>
      <c r="H25" s="19" t="s">
        <v>138</v>
      </c>
      <c r="I25" s="19" t="s">
        <v>41</v>
      </c>
      <c r="J25" s="18" t="n">
        <v>46228</v>
      </c>
      <c r="K25" s="18" t="n">
        <v>46412</v>
      </c>
      <c r="L25" s="19" t="s">
        <v>85</v>
      </c>
      <c r="M25" s="20" t="n">
        <v>0</v>
      </c>
      <c r="N25" s="11" t="s">
        <v>176</v>
      </c>
    </row>
    <row r="26" customFormat="false" ht="23.25" hidden="false" customHeight="true" outlineLevel="0" collapsed="false">
      <c r="A26" s="18" t="n">
        <v>46228</v>
      </c>
      <c r="B26" s="19" t="s">
        <v>73</v>
      </c>
      <c r="C26" s="11" t="s">
        <v>177</v>
      </c>
      <c r="D26" s="19" t="s">
        <v>75</v>
      </c>
      <c r="E26" s="19" t="s">
        <v>178</v>
      </c>
      <c r="F26" s="20" t="n">
        <v>160</v>
      </c>
      <c r="G26" s="11" t="s">
        <v>179</v>
      </c>
      <c r="H26" s="19" t="s">
        <v>138</v>
      </c>
      <c r="I26" s="19" t="s">
        <v>29</v>
      </c>
      <c r="J26" s="18" t="n">
        <v>46167</v>
      </c>
      <c r="K26" s="18" t="n">
        <v>46228</v>
      </c>
      <c r="L26" s="19" t="s">
        <v>79</v>
      </c>
      <c r="M26" s="20" t="n">
        <v>160</v>
      </c>
      <c r="N26" s="11" t="s">
        <v>180</v>
      </c>
    </row>
    <row r="27" customFormat="false" ht="23.25" hidden="false" customHeight="true" outlineLevel="0" collapsed="false">
      <c r="A27" s="18" t="n">
        <v>46241</v>
      </c>
      <c r="B27" s="19" t="s">
        <v>153</v>
      </c>
      <c r="C27" s="11" t="s">
        <v>181</v>
      </c>
      <c r="D27" s="19" t="s">
        <v>155</v>
      </c>
      <c r="E27" s="19" t="s">
        <v>156</v>
      </c>
      <c r="F27" s="20" t="n">
        <v>270</v>
      </c>
      <c r="G27" s="11" t="s">
        <v>182</v>
      </c>
      <c r="H27" s="19" t="s">
        <v>78</v>
      </c>
      <c r="I27" s="19" t="s">
        <v>41</v>
      </c>
      <c r="J27" s="18" t="n">
        <v>46241</v>
      </c>
      <c r="K27" s="18" t="n">
        <v>46425</v>
      </c>
      <c r="L27" s="19" t="s">
        <v>85</v>
      </c>
      <c r="M27" s="20" t="n">
        <v>0</v>
      </c>
      <c r="N27" s="11" t="s">
        <v>183</v>
      </c>
    </row>
    <row r="28" customFormat="false" ht="23.25" hidden="false" customHeight="true" outlineLevel="0" collapsed="false">
      <c r="A28" s="18" t="n">
        <v>46242</v>
      </c>
      <c r="B28" s="19" t="s">
        <v>143</v>
      </c>
      <c r="C28" s="11" t="s">
        <v>184</v>
      </c>
      <c r="D28" s="19" t="s">
        <v>145</v>
      </c>
      <c r="E28" s="19" t="s">
        <v>146</v>
      </c>
      <c r="F28" s="20" t="n">
        <v>50</v>
      </c>
      <c r="G28" s="11" t="s">
        <v>185</v>
      </c>
      <c r="H28" s="19" t="s">
        <v>78</v>
      </c>
      <c r="I28" s="19" t="s">
        <v>31</v>
      </c>
      <c r="J28" s="18" t="n">
        <v>46242</v>
      </c>
      <c r="K28" s="18" t="n">
        <v>46334</v>
      </c>
      <c r="L28" s="19" t="s">
        <v>85</v>
      </c>
      <c r="M28" s="20" t="n">
        <v>50</v>
      </c>
      <c r="N28" s="11" t="s">
        <v>186</v>
      </c>
    </row>
    <row r="29" customFormat="false" ht="23.25" hidden="false" customHeight="true" outlineLevel="0" collapsed="false">
      <c r="A29" s="18" t="n">
        <v>46249</v>
      </c>
      <c r="B29" s="19" t="s">
        <v>73</v>
      </c>
      <c r="C29" s="11" t="s">
        <v>187</v>
      </c>
      <c r="D29" s="19" t="s">
        <v>75</v>
      </c>
      <c r="E29" s="19" t="s">
        <v>188</v>
      </c>
      <c r="F29" s="20" t="n">
        <v>165</v>
      </c>
      <c r="G29" s="11" t="s">
        <v>189</v>
      </c>
      <c r="H29" s="19" t="s">
        <v>78</v>
      </c>
      <c r="I29" s="19" t="s">
        <v>33</v>
      </c>
      <c r="J29" s="18" t="n">
        <v>46341</v>
      </c>
      <c r="K29" s="18" t="n">
        <v>46433</v>
      </c>
      <c r="L29" s="19" t="s">
        <v>85</v>
      </c>
      <c r="M29" s="20" t="n">
        <v>120</v>
      </c>
      <c r="N29" s="11" t="s">
        <v>190</v>
      </c>
    </row>
    <row r="30" customFormat="false" ht="23.25" hidden="false" customHeight="true" outlineLevel="0" collapsed="false">
      <c r="A30" s="18" t="n">
        <v>46254</v>
      </c>
      <c r="B30" s="19" t="s">
        <v>111</v>
      </c>
      <c r="C30" s="11" t="s">
        <v>191</v>
      </c>
      <c r="D30" s="19" t="s">
        <v>113</v>
      </c>
      <c r="E30" s="19" t="s">
        <v>192</v>
      </c>
      <c r="F30" s="20" t="n">
        <v>120</v>
      </c>
      <c r="G30" s="11" t="s">
        <v>193</v>
      </c>
      <c r="H30" s="19" t="s">
        <v>78</v>
      </c>
      <c r="I30" s="19" t="s">
        <v>29</v>
      </c>
      <c r="J30" s="18" t="n">
        <v>46204</v>
      </c>
      <c r="K30" s="18" t="n">
        <v>46254</v>
      </c>
      <c r="L30" s="19" t="s">
        <v>79</v>
      </c>
      <c r="M30" s="20" t="n">
        <v>120</v>
      </c>
      <c r="N30" s="11" t="s">
        <v>194</v>
      </c>
    </row>
    <row r="31" customFormat="false" ht="23.25" hidden="false" customHeight="true" outlineLevel="0" collapsed="false">
      <c r="A31" s="18" t="n">
        <v>46270</v>
      </c>
      <c r="B31" s="19" t="s">
        <v>101</v>
      </c>
      <c r="C31" s="11" t="s">
        <v>195</v>
      </c>
      <c r="D31" s="19" t="s">
        <v>103</v>
      </c>
      <c r="E31" s="19" t="s">
        <v>192</v>
      </c>
      <c r="F31" s="20" t="n">
        <v>145</v>
      </c>
      <c r="G31" s="11" t="s">
        <v>196</v>
      </c>
      <c r="H31" s="19" t="s">
        <v>84</v>
      </c>
      <c r="I31" s="19" t="s">
        <v>31</v>
      </c>
      <c r="J31" s="18" t="n">
        <v>46270</v>
      </c>
      <c r="K31" s="18" t="n">
        <v>46361</v>
      </c>
      <c r="L31" s="19" t="s">
        <v>85</v>
      </c>
      <c r="M31" s="20" t="n">
        <v>140</v>
      </c>
      <c r="N31" s="11" t="s">
        <v>197</v>
      </c>
    </row>
    <row r="32" customFormat="false" ht="23.25" hidden="false" customHeight="true" outlineLevel="0" collapsed="false">
      <c r="A32" s="18" t="n">
        <v>46275</v>
      </c>
      <c r="B32" s="19" t="s">
        <v>128</v>
      </c>
      <c r="C32" s="11" t="s">
        <v>198</v>
      </c>
      <c r="D32" s="19" t="s">
        <v>199</v>
      </c>
      <c r="E32" s="19" t="s">
        <v>200</v>
      </c>
      <c r="F32" s="20" t="n">
        <v>0</v>
      </c>
      <c r="G32" s="11" t="s">
        <v>201</v>
      </c>
      <c r="H32" s="19"/>
      <c r="I32" s="19" t="s">
        <v>41</v>
      </c>
      <c r="J32" s="18" t="n">
        <v>46275</v>
      </c>
      <c r="K32" s="18" t="n">
        <v>46279</v>
      </c>
      <c r="L32" s="19" t="s">
        <v>90</v>
      </c>
      <c r="M32" s="20" t="n">
        <v>0</v>
      </c>
      <c r="N32" s="11" t="s">
        <v>202</v>
      </c>
    </row>
    <row r="33" customFormat="false" ht="23.25" hidden="false" customHeight="true" outlineLevel="0" collapsed="false">
      <c r="A33" s="18" t="n">
        <v>46280</v>
      </c>
      <c r="B33" s="19" t="s">
        <v>203</v>
      </c>
      <c r="C33" s="11" t="s">
        <v>204</v>
      </c>
      <c r="D33" s="19" t="s">
        <v>155</v>
      </c>
      <c r="E33" s="19" t="s">
        <v>156</v>
      </c>
      <c r="F33" s="20" t="n">
        <v>180</v>
      </c>
      <c r="G33" s="11" t="s">
        <v>205</v>
      </c>
      <c r="H33" s="19" t="s">
        <v>138</v>
      </c>
      <c r="I33" s="19" t="s">
        <v>29</v>
      </c>
      <c r="J33" s="18" t="n">
        <v>46218</v>
      </c>
      <c r="K33" s="18" t="n">
        <v>46280</v>
      </c>
      <c r="L33" s="19" t="s">
        <v>133</v>
      </c>
      <c r="M33" s="20" t="n">
        <v>180</v>
      </c>
      <c r="N33" s="11" t="s">
        <v>206</v>
      </c>
    </row>
    <row r="34" customFormat="false" ht="34.5" hidden="false" customHeight="true" outlineLevel="0" collapsed="false">
      <c r="A34" s="18" t="n">
        <v>46280</v>
      </c>
      <c r="B34" s="19" t="s">
        <v>203</v>
      </c>
      <c r="C34" s="11" t="s">
        <v>207</v>
      </c>
      <c r="D34" s="19" t="s">
        <v>124</v>
      </c>
      <c r="E34" s="19" t="s">
        <v>208</v>
      </c>
      <c r="F34" s="20" t="n">
        <v>400</v>
      </c>
      <c r="G34" s="11" t="s">
        <v>209</v>
      </c>
      <c r="H34" s="19" t="s">
        <v>84</v>
      </c>
      <c r="I34" s="19" t="s">
        <v>41</v>
      </c>
      <c r="J34" s="18" t="n">
        <v>46132</v>
      </c>
      <c r="K34" s="18" t="n">
        <v>46497</v>
      </c>
      <c r="L34" s="19" t="s">
        <v>79</v>
      </c>
      <c r="M34" s="20" t="n">
        <v>0</v>
      </c>
      <c r="N34" s="11" t="s">
        <v>210</v>
      </c>
    </row>
    <row r="35" customFormat="false" ht="34.5" hidden="false" customHeight="true" outlineLevel="0" collapsed="false">
      <c r="A35" s="18" t="n">
        <v>46310</v>
      </c>
      <c r="B35" s="19" t="s">
        <v>143</v>
      </c>
      <c r="C35" s="11" t="s">
        <v>211</v>
      </c>
      <c r="D35" s="19" t="s">
        <v>145</v>
      </c>
      <c r="E35" s="19" t="s">
        <v>212</v>
      </c>
      <c r="F35" s="20" t="n">
        <v>60</v>
      </c>
      <c r="G35" s="11" t="s">
        <v>213</v>
      </c>
      <c r="H35" s="19" t="s">
        <v>138</v>
      </c>
      <c r="I35" s="19" t="s">
        <v>29</v>
      </c>
      <c r="J35" s="18" t="n">
        <v>46249</v>
      </c>
      <c r="K35" s="18" t="n">
        <v>46310</v>
      </c>
      <c r="L35" s="19" t="s">
        <v>133</v>
      </c>
      <c r="M35" s="20" t="n">
        <v>120</v>
      </c>
      <c r="N35" s="11" t="s">
        <v>214</v>
      </c>
    </row>
    <row r="36" customFormat="false" ht="34.5" hidden="false" customHeight="true" outlineLevel="0" collapsed="false">
      <c r="A36" s="18" t="n">
        <v>46317</v>
      </c>
      <c r="B36" s="19" t="s">
        <v>153</v>
      </c>
      <c r="C36" s="11" t="s">
        <v>215</v>
      </c>
      <c r="D36" s="19" t="s">
        <v>155</v>
      </c>
      <c r="E36" s="19" t="s">
        <v>156</v>
      </c>
      <c r="F36" s="20" t="n">
        <v>110</v>
      </c>
      <c r="G36" s="11" t="s">
        <v>216</v>
      </c>
      <c r="H36" s="19" t="s">
        <v>84</v>
      </c>
      <c r="I36" s="19" t="s">
        <v>31</v>
      </c>
      <c r="J36" s="18" t="n">
        <v>46317</v>
      </c>
      <c r="K36" s="18" t="n">
        <v>46409</v>
      </c>
      <c r="L36" s="19" t="s">
        <v>79</v>
      </c>
      <c r="M36" s="20" t="n">
        <v>110</v>
      </c>
      <c r="N36" s="11" t="s">
        <v>217</v>
      </c>
    </row>
    <row r="37" customFormat="false" ht="23.25" hidden="false" customHeight="true" outlineLevel="0" collapsed="false">
      <c r="A37" s="18" t="n">
        <v>46327</v>
      </c>
      <c r="B37" s="19" t="s">
        <v>73</v>
      </c>
      <c r="C37" s="11" t="s">
        <v>218</v>
      </c>
      <c r="D37" s="19" t="s">
        <v>75</v>
      </c>
      <c r="E37" s="19" t="s">
        <v>136</v>
      </c>
      <c r="F37" s="20" t="n">
        <v>480</v>
      </c>
      <c r="G37" s="11" t="s">
        <v>219</v>
      </c>
      <c r="H37" s="19" t="s">
        <v>138</v>
      </c>
      <c r="I37" s="19" t="s">
        <v>29</v>
      </c>
      <c r="J37" s="18" t="n">
        <v>46266</v>
      </c>
      <c r="K37" s="18" t="n">
        <v>46327</v>
      </c>
      <c r="L37" s="19" t="s">
        <v>79</v>
      </c>
      <c r="M37" s="20" t="n">
        <v>75</v>
      </c>
      <c r="N37" s="11" t="s">
        <v>220</v>
      </c>
    </row>
    <row r="38" customFormat="false" ht="23.25" hidden="false" customHeight="true" outlineLevel="0" collapsed="false">
      <c r="A38" s="18" t="n">
        <v>46327</v>
      </c>
      <c r="B38" s="19" t="s">
        <v>73</v>
      </c>
      <c r="C38" s="11" t="s">
        <v>221</v>
      </c>
      <c r="D38" s="19" t="s">
        <v>75</v>
      </c>
      <c r="E38" s="19" t="s">
        <v>93</v>
      </c>
      <c r="F38" s="20" t="n">
        <v>75</v>
      </c>
      <c r="G38" s="11" t="s">
        <v>222</v>
      </c>
      <c r="H38" s="19" t="s">
        <v>138</v>
      </c>
      <c r="I38" s="19" t="s">
        <v>29</v>
      </c>
      <c r="J38" s="18" t="n">
        <v>46266</v>
      </c>
      <c r="K38" s="18" t="n">
        <v>46327</v>
      </c>
      <c r="L38" s="19" t="s">
        <v>133</v>
      </c>
      <c r="M38" s="20" t="n">
        <v>75</v>
      </c>
      <c r="N38" s="11" t="s">
        <v>223</v>
      </c>
    </row>
    <row r="39" customFormat="false" ht="23.25" hidden="false" customHeight="true" outlineLevel="0" collapsed="false">
      <c r="A39" s="18" t="n">
        <v>46333</v>
      </c>
      <c r="B39" s="19" t="s">
        <v>143</v>
      </c>
      <c r="C39" s="11" t="s">
        <v>224</v>
      </c>
      <c r="D39" s="19" t="s">
        <v>145</v>
      </c>
      <c r="E39" s="19" t="s">
        <v>146</v>
      </c>
      <c r="F39" s="20" t="n">
        <v>50</v>
      </c>
      <c r="G39" s="11" t="s">
        <v>225</v>
      </c>
      <c r="H39" s="19" t="s">
        <v>78</v>
      </c>
      <c r="I39" s="19" t="s">
        <v>31</v>
      </c>
      <c r="J39" s="18" t="n">
        <v>46333</v>
      </c>
      <c r="K39" s="18" t="n">
        <v>46425</v>
      </c>
      <c r="L39" s="19" t="s">
        <v>85</v>
      </c>
      <c r="M39" s="20" t="n">
        <v>50</v>
      </c>
      <c r="N39" s="11" t="s">
        <v>226</v>
      </c>
    </row>
    <row r="40" customFormat="false" ht="23.25" hidden="false" customHeight="true" outlineLevel="0" collapsed="false">
      <c r="A40" s="18" t="n">
        <v>46336</v>
      </c>
      <c r="B40" s="19" t="s">
        <v>111</v>
      </c>
      <c r="C40" s="11" t="s">
        <v>227</v>
      </c>
      <c r="D40" s="19" t="s">
        <v>113</v>
      </c>
      <c r="E40" s="19" t="s">
        <v>192</v>
      </c>
      <c r="F40" s="20" t="n">
        <v>120</v>
      </c>
      <c r="G40" s="11" t="s">
        <v>228</v>
      </c>
      <c r="H40" s="19" t="s">
        <v>78</v>
      </c>
      <c r="I40" s="19" t="s">
        <v>29</v>
      </c>
      <c r="J40" s="18" t="n">
        <v>46275</v>
      </c>
      <c r="K40" s="18" t="n">
        <v>46336</v>
      </c>
      <c r="L40" s="19" t="s">
        <v>79</v>
      </c>
      <c r="M40" s="20" t="n">
        <v>120</v>
      </c>
      <c r="N40" s="11" t="s">
        <v>229</v>
      </c>
    </row>
    <row r="41" customFormat="false" ht="34.5" hidden="false" customHeight="true" outlineLevel="0" collapsed="false">
      <c r="A41" s="18" t="n">
        <v>46347</v>
      </c>
      <c r="B41" s="19" t="s">
        <v>153</v>
      </c>
      <c r="C41" s="11" t="s">
        <v>230</v>
      </c>
      <c r="D41" s="19" t="s">
        <v>155</v>
      </c>
      <c r="E41" s="19" t="s">
        <v>156</v>
      </c>
      <c r="F41" s="20" t="n">
        <v>160</v>
      </c>
      <c r="G41" s="11" t="s">
        <v>231</v>
      </c>
      <c r="H41" s="19" t="s">
        <v>78</v>
      </c>
      <c r="I41" s="19" t="s">
        <v>41</v>
      </c>
      <c r="J41" s="18" t="n">
        <v>46347</v>
      </c>
      <c r="K41" s="18" t="n">
        <v>46528</v>
      </c>
      <c r="L41" s="19" t="s">
        <v>85</v>
      </c>
      <c r="M41" s="20" t="n">
        <v>0</v>
      </c>
      <c r="N41" s="11" t="s">
        <v>232</v>
      </c>
    </row>
    <row r="42" customFormat="false" ht="23.25" hidden="false" customHeight="true" outlineLevel="0" collapsed="false">
      <c r="A42" s="18" t="n">
        <v>46361</v>
      </c>
      <c r="B42" s="19" t="s">
        <v>233</v>
      </c>
      <c r="C42" s="11" t="s">
        <v>234</v>
      </c>
      <c r="D42" s="19" t="s">
        <v>155</v>
      </c>
      <c r="E42" s="19" t="s">
        <v>156</v>
      </c>
      <c r="F42" s="20" t="n">
        <v>180</v>
      </c>
      <c r="G42" s="11" t="s">
        <v>235</v>
      </c>
      <c r="H42" s="19" t="s">
        <v>138</v>
      </c>
      <c r="I42" s="19" t="s">
        <v>29</v>
      </c>
      <c r="J42" s="18" t="n">
        <v>46300</v>
      </c>
      <c r="K42" s="18" t="n">
        <v>46361</v>
      </c>
      <c r="L42" s="19" t="s">
        <v>133</v>
      </c>
      <c r="M42" s="20" t="n">
        <v>180</v>
      </c>
      <c r="N42" s="11" t="s">
        <v>236</v>
      </c>
    </row>
    <row r="43" customFormat="false" ht="23.25" hidden="false" customHeight="true" outlineLevel="0" collapsed="false">
      <c r="A43" s="18" t="n">
        <v>46366</v>
      </c>
      <c r="B43" s="19" t="s">
        <v>233</v>
      </c>
      <c r="C43" s="11" t="s">
        <v>237</v>
      </c>
      <c r="D43" s="19" t="s">
        <v>124</v>
      </c>
      <c r="E43" s="19" t="s">
        <v>208</v>
      </c>
      <c r="F43" s="20" t="n">
        <v>380</v>
      </c>
      <c r="G43" s="11" t="s">
        <v>238</v>
      </c>
      <c r="H43" s="19" t="s">
        <v>84</v>
      </c>
      <c r="I43" s="19" t="s">
        <v>41</v>
      </c>
      <c r="J43" s="18" t="n">
        <v>46188</v>
      </c>
      <c r="K43" s="18" t="n">
        <v>46433</v>
      </c>
      <c r="L43" s="19" t="s">
        <v>79</v>
      </c>
      <c r="M43" s="20" t="n">
        <v>0</v>
      </c>
      <c r="N43" s="11" t="s">
        <v>239</v>
      </c>
    </row>
    <row r="44" customFormat="false" ht="34.5" hidden="false" customHeight="true" outlineLevel="0" collapsed="false">
      <c r="A44" s="18" t="n">
        <v>46402</v>
      </c>
      <c r="B44" s="19" t="s">
        <v>143</v>
      </c>
      <c r="C44" s="11" t="s">
        <v>240</v>
      </c>
      <c r="D44" s="19" t="s">
        <v>145</v>
      </c>
      <c r="E44" s="19" t="s">
        <v>241</v>
      </c>
      <c r="F44" s="20" t="n">
        <v>55</v>
      </c>
      <c r="G44" s="11" t="s">
        <v>242</v>
      </c>
      <c r="H44" s="19" t="s">
        <v>243</v>
      </c>
      <c r="I44" s="19" t="s">
        <v>29</v>
      </c>
      <c r="J44" s="18" t="n">
        <v>46341</v>
      </c>
      <c r="K44" s="18" t="n">
        <v>46402</v>
      </c>
      <c r="L44" s="19" t="s">
        <v>133</v>
      </c>
      <c r="M44" s="20" t="n">
        <v>165</v>
      </c>
      <c r="N44" s="11" t="s">
        <v>244</v>
      </c>
    </row>
    <row r="45" customFormat="false" ht="15" hidden="false" customHeight="true" outlineLevel="0" collapsed="false">
      <c r="A45" s="18" t="n">
        <v>46414</v>
      </c>
      <c r="B45" s="19" t="s">
        <v>153</v>
      </c>
      <c r="C45" s="11" t="s">
        <v>245</v>
      </c>
      <c r="D45" s="19" t="s">
        <v>155</v>
      </c>
      <c r="E45" s="19" t="s">
        <v>156</v>
      </c>
      <c r="F45" s="20" t="n">
        <v>110</v>
      </c>
      <c r="G45" s="11" t="s">
        <v>246</v>
      </c>
      <c r="H45" s="19" t="s">
        <v>84</v>
      </c>
      <c r="I45" s="19" t="s">
        <v>31</v>
      </c>
      <c r="J45" s="18" t="n">
        <v>46414</v>
      </c>
      <c r="K45" s="18" t="n">
        <v>46504</v>
      </c>
      <c r="L45" s="19" t="s">
        <v>85</v>
      </c>
      <c r="M45" s="20" t="n">
        <v>110</v>
      </c>
      <c r="N45" s="11" t="s">
        <v>247</v>
      </c>
    </row>
    <row r="46" customFormat="false" ht="23.25" hidden="false" customHeight="true" outlineLevel="0" collapsed="false">
      <c r="A46" s="18" t="n">
        <v>46425</v>
      </c>
      <c r="B46" s="19" t="s">
        <v>233</v>
      </c>
      <c r="C46" s="11" t="s">
        <v>248</v>
      </c>
      <c r="D46" s="19" t="s">
        <v>249</v>
      </c>
      <c r="E46" s="19" t="s">
        <v>250</v>
      </c>
      <c r="F46" s="20" t="n">
        <v>0</v>
      </c>
      <c r="G46" s="11" t="s">
        <v>251</v>
      </c>
      <c r="H46" s="19"/>
      <c r="I46" s="19" t="s">
        <v>41</v>
      </c>
      <c r="J46" s="18" t="n">
        <v>46425</v>
      </c>
      <c r="K46" s="18" t="n">
        <v>46453</v>
      </c>
      <c r="L46" s="19" t="s">
        <v>90</v>
      </c>
      <c r="M46" s="20" t="n">
        <v>0</v>
      </c>
      <c r="N46" s="11" t="s">
        <v>252</v>
      </c>
    </row>
    <row r="47" customFormat="false" ht="23.25" hidden="false" customHeight="true" outlineLevel="0" collapsed="false">
      <c r="A47" s="18" t="n">
        <v>46433</v>
      </c>
      <c r="B47" s="19" t="s">
        <v>73</v>
      </c>
      <c r="C47" s="11" t="s">
        <v>253</v>
      </c>
      <c r="D47" s="19" t="s">
        <v>75</v>
      </c>
      <c r="E47" s="19" t="s">
        <v>188</v>
      </c>
      <c r="F47" s="20" t="n">
        <v>165</v>
      </c>
      <c r="G47" s="11" t="s">
        <v>254</v>
      </c>
      <c r="H47" s="19" t="s">
        <v>84</v>
      </c>
      <c r="I47" s="19" t="s">
        <v>33</v>
      </c>
      <c r="J47" s="18" t="n">
        <v>46522</v>
      </c>
      <c r="K47" s="18" t="n">
        <v>46614</v>
      </c>
      <c r="L47" s="19" t="s">
        <v>90</v>
      </c>
      <c r="M47" s="20" t="n">
        <v>0</v>
      </c>
      <c r="N47" s="11" t="s">
        <v>255</v>
      </c>
    </row>
    <row r="48" customFormat="false" ht="23.25" hidden="false" customHeight="true" outlineLevel="0" collapsed="false">
      <c r="A48" s="18" t="n">
        <v>46460</v>
      </c>
      <c r="B48" s="19" t="s">
        <v>153</v>
      </c>
      <c r="C48" s="11" t="s">
        <v>256</v>
      </c>
      <c r="D48" s="19" t="s">
        <v>155</v>
      </c>
      <c r="E48" s="19" t="s">
        <v>156</v>
      </c>
      <c r="F48" s="20" t="n">
        <v>120</v>
      </c>
      <c r="G48" s="11" t="s">
        <v>257</v>
      </c>
      <c r="H48" s="19" t="s">
        <v>84</v>
      </c>
      <c r="I48" s="19" t="s">
        <v>31</v>
      </c>
      <c r="J48" s="18" t="n">
        <v>46460</v>
      </c>
      <c r="K48" s="18" t="n">
        <v>46552</v>
      </c>
      <c r="L48" s="19" t="s">
        <v>85</v>
      </c>
      <c r="M48" s="20" t="n">
        <v>120</v>
      </c>
      <c r="N48" s="11" t="s">
        <v>258</v>
      </c>
    </row>
    <row r="49" customFormat="false" ht="15" hidden="false" customHeight="true" outlineLevel="0" collapsed="false">
      <c r="A49" s="18" t="n">
        <v>46471</v>
      </c>
      <c r="B49" s="19" t="s">
        <v>101</v>
      </c>
      <c r="C49" s="11" t="s">
        <v>259</v>
      </c>
      <c r="D49" s="19" t="s">
        <v>103</v>
      </c>
      <c r="E49" s="19" t="s">
        <v>192</v>
      </c>
      <c r="F49" s="20" t="n">
        <v>150</v>
      </c>
      <c r="G49" s="11" t="s">
        <v>260</v>
      </c>
      <c r="H49" s="19" t="s">
        <v>84</v>
      </c>
      <c r="I49" s="19" t="s">
        <v>31</v>
      </c>
      <c r="J49" s="18" t="n">
        <v>46471</v>
      </c>
      <c r="K49" s="18" t="n">
        <v>46563</v>
      </c>
      <c r="L49" s="19" t="s">
        <v>85</v>
      </c>
      <c r="M49" s="20" t="n">
        <v>145</v>
      </c>
      <c r="N49" s="11" t="s">
        <v>261</v>
      </c>
    </row>
    <row r="50" customFormat="false" ht="34.5" hidden="false" customHeight="true" outlineLevel="0" collapsed="false">
      <c r="A50" s="18" t="n">
        <v>46492</v>
      </c>
      <c r="B50" s="19" t="s">
        <v>128</v>
      </c>
      <c r="C50" s="11" t="s">
        <v>262</v>
      </c>
      <c r="D50" s="19" t="s">
        <v>263</v>
      </c>
      <c r="E50" s="19" t="s">
        <v>264</v>
      </c>
      <c r="F50" s="20" t="n">
        <v>0</v>
      </c>
      <c r="G50" s="11" t="s">
        <v>265</v>
      </c>
      <c r="H50" s="19"/>
      <c r="I50" s="19" t="s">
        <v>41</v>
      </c>
      <c r="J50" s="18" t="n">
        <v>46461</v>
      </c>
      <c r="K50" s="18" t="n">
        <v>46522</v>
      </c>
      <c r="L50" s="19" t="s">
        <v>90</v>
      </c>
      <c r="M50" s="20" t="n">
        <v>0</v>
      </c>
      <c r="N50" s="11" t="s">
        <v>266</v>
      </c>
    </row>
    <row r="51" customFormat="false" ht="15" hidden="false" customHeight="true" outlineLevel="0" collapsed="false">
      <c r="A51" s="18" t="n">
        <v>46497</v>
      </c>
      <c r="B51" s="19" t="s">
        <v>73</v>
      </c>
      <c r="C51" s="11" t="s">
        <v>267</v>
      </c>
      <c r="D51" s="19" t="s">
        <v>75</v>
      </c>
      <c r="E51" s="19" t="s">
        <v>188</v>
      </c>
      <c r="F51" s="20" t="n">
        <v>165</v>
      </c>
      <c r="G51" s="11" t="s">
        <v>268</v>
      </c>
      <c r="H51" s="19" t="s">
        <v>84</v>
      </c>
      <c r="I51" s="19" t="s">
        <v>41</v>
      </c>
      <c r="J51" s="18" t="n">
        <v>46497</v>
      </c>
      <c r="K51" s="18" t="n">
        <v>46588</v>
      </c>
      <c r="L51" s="19" t="s">
        <v>90</v>
      </c>
      <c r="M51" s="20" t="n">
        <v>0</v>
      </c>
      <c r="N51" s="11" t="s">
        <v>269</v>
      </c>
    </row>
    <row r="52" customFormat="false" ht="23.25" hidden="false" customHeight="true" outlineLevel="0" collapsed="false">
      <c r="A52" s="18" t="n">
        <v>46522</v>
      </c>
      <c r="B52" s="19" t="s">
        <v>143</v>
      </c>
      <c r="C52" s="11" t="s">
        <v>270</v>
      </c>
      <c r="D52" s="19" t="s">
        <v>145</v>
      </c>
      <c r="E52" s="19" t="s">
        <v>146</v>
      </c>
      <c r="F52" s="20" t="n">
        <v>55</v>
      </c>
      <c r="G52" s="11" t="s">
        <v>271</v>
      </c>
      <c r="H52" s="19" t="s">
        <v>78</v>
      </c>
      <c r="I52" s="19" t="s">
        <v>31</v>
      </c>
      <c r="J52" s="18" t="n">
        <v>46522</v>
      </c>
      <c r="K52" s="18" t="n">
        <v>46614</v>
      </c>
      <c r="L52" s="19" t="s">
        <v>79</v>
      </c>
      <c r="M52" s="20" t="n">
        <v>55</v>
      </c>
      <c r="N52" s="11" t="s">
        <v>272</v>
      </c>
    </row>
    <row r="53" customFormat="false" ht="23.25" hidden="false" customHeight="true" outlineLevel="0" collapsed="false">
      <c r="A53" s="18" t="n">
        <v>46539</v>
      </c>
      <c r="B53" s="19" t="s">
        <v>128</v>
      </c>
      <c r="C53" s="11" t="s">
        <v>273</v>
      </c>
      <c r="D53" s="19" t="s">
        <v>130</v>
      </c>
      <c r="E53" s="19" t="s">
        <v>274</v>
      </c>
      <c r="F53" s="20" t="n">
        <v>0</v>
      </c>
      <c r="G53" s="11" t="s">
        <v>275</v>
      </c>
      <c r="H53" s="19"/>
      <c r="I53" s="19" t="s">
        <v>41</v>
      </c>
      <c r="J53" s="18" t="n">
        <v>46508</v>
      </c>
      <c r="K53" s="18" t="n">
        <v>46630</v>
      </c>
      <c r="L53" s="19" t="s">
        <v>85</v>
      </c>
      <c r="M53" s="20" t="n">
        <v>0</v>
      </c>
      <c r="N53" s="11" t="s">
        <v>276</v>
      </c>
    </row>
    <row r="54" customFormat="false" ht="23.25" hidden="false" customHeight="true" outlineLevel="0" collapsed="false">
      <c r="A54" s="18" t="n">
        <v>46553</v>
      </c>
      <c r="B54" s="19" t="s">
        <v>73</v>
      </c>
      <c r="C54" s="11" t="s">
        <v>277</v>
      </c>
      <c r="D54" s="19" t="s">
        <v>75</v>
      </c>
      <c r="E54" s="19" t="s">
        <v>136</v>
      </c>
      <c r="F54" s="20" t="n">
        <v>550</v>
      </c>
      <c r="G54" s="11" t="s">
        <v>278</v>
      </c>
      <c r="H54" s="19" t="s">
        <v>138</v>
      </c>
      <c r="I54" s="19" t="s">
        <v>29</v>
      </c>
      <c r="J54" s="18" t="n">
        <v>46492</v>
      </c>
      <c r="K54" s="18" t="n">
        <v>46553</v>
      </c>
      <c r="L54" s="19" t="s">
        <v>133</v>
      </c>
      <c r="M54" s="20" t="n">
        <v>0</v>
      </c>
      <c r="N54" s="11" t="s">
        <v>279</v>
      </c>
    </row>
    <row r="55" customFormat="false" ht="34.5" hidden="false" customHeight="true" outlineLevel="0" collapsed="false">
      <c r="A55" s="18" t="n">
        <v>46569</v>
      </c>
      <c r="B55" s="19" t="s">
        <v>111</v>
      </c>
      <c r="C55" s="11" t="s">
        <v>280</v>
      </c>
      <c r="D55" s="19" t="s">
        <v>113</v>
      </c>
      <c r="E55" s="19" t="s">
        <v>281</v>
      </c>
      <c r="F55" s="20" t="n">
        <v>100</v>
      </c>
      <c r="G55" s="11" t="s">
        <v>282</v>
      </c>
      <c r="H55" s="19" t="s">
        <v>138</v>
      </c>
      <c r="I55" s="19" t="s">
        <v>29</v>
      </c>
      <c r="J55" s="18" t="n">
        <v>46508</v>
      </c>
      <c r="K55" s="18" t="n">
        <v>46599</v>
      </c>
      <c r="L55" s="19" t="s">
        <v>133</v>
      </c>
      <c r="M55" s="20" t="n">
        <v>200</v>
      </c>
      <c r="N55" s="11" t="s">
        <v>283</v>
      </c>
    </row>
    <row r="56" customFormat="false" ht="23.25" hidden="false" customHeight="true" outlineLevel="0" collapsed="false">
      <c r="A56" s="18" t="n">
        <v>46600</v>
      </c>
      <c r="B56" s="19" t="s">
        <v>128</v>
      </c>
      <c r="C56" s="11" t="s">
        <v>284</v>
      </c>
      <c r="D56" s="19" t="s">
        <v>285</v>
      </c>
      <c r="E56" s="19" t="s">
        <v>286</v>
      </c>
      <c r="F56" s="20" t="n">
        <v>0</v>
      </c>
      <c r="G56" s="11" t="s">
        <v>287</v>
      </c>
      <c r="H56" s="19"/>
      <c r="I56" s="19" t="s">
        <v>41</v>
      </c>
      <c r="J56" s="18" t="n">
        <v>46508</v>
      </c>
      <c r="K56" s="18" t="n">
        <v>46752</v>
      </c>
      <c r="L56" s="19" t="s">
        <v>79</v>
      </c>
      <c r="M56" s="20" t="n">
        <v>0</v>
      </c>
      <c r="N56" s="11" t="s">
        <v>288</v>
      </c>
    </row>
    <row r="57" customFormat="false" ht="34.5" hidden="false" customHeight="true" outlineLevel="0" collapsed="false">
      <c r="A57" s="18" t="n">
        <v>46614</v>
      </c>
      <c r="B57" s="19" t="s">
        <v>143</v>
      </c>
      <c r="C57" s="11" t="s">
        <v>289</v>
      </c>
      <c r="D57" s="19" t="s">
        <v>145</v>
      </c>
      <c r="E57" s="19" t="s">
        <v>146</v>
      </c>
      <c r="F57" s="20" t="n">
        <v>55</v>
      </c>
      <c r="G57" s="11" t="s">
        <v>290</v>
      </c>
      <c r="H57" s="19" t="s">
        <v>138</v>
      </c>
      <c r="I57" s="19" t="s">
        <v>29</v>
      </c>
      <c r="J57" s="18" t="n">
        <v>46553</v>
      </c>
      <c r="K57" s="18" t="n">
        <v>46614</v>
      </c>
      <c r="L57" s="19" t="s">
        <v>133</v>
      </c>
      <c r="M57" s="20" t="n">
        <v>110</v>
      </c>
      <c r="N57" s="11" t="s">
        <v>291</v>
      </c>
    </row>
    <row r="58" customFormat="false" ht="23.25" hidden="false" customHeight="true" outlineLevel="0" collapsed="false">
      <c r="A58" s="18" t="n">
        <v>46645</v>
      </c>
      <c r="B58" s="19" t="s">
        <v>143</v>
      </c>
      <c r="C58" s="11" t="s">
        <v>292</v>
      </c>
      <c r="D58" s="19" t="s">
        <v>145</v>
      </c>
      <c r="E58" s="19" t="s">
        <v>146</v>
      </c>
      <c r="F58" s="20" t="n">
        <v>55</v>
      </c>
      <c r="G58" s="11" t="s">
        <v>293</v>
      </c>
      <c r="H58" s="19" t="s">
        <v>243</v>
      </c>
      <c r="I58" s="19" t="s">
        <v>29</v>
      </c>
      <c r="J58" s="18" t="n">
        <v>46583</v>
      </c>
      <c r="K58" s="18" t="n">
        <v>46645</v>
      </c>
      <c r="L58" s="19" t="s">
        <v>133</v>
      </c>
      <c r="M58" s="20" t="n">
        <v>165</v>
      </c>
      <c r="N58" s="11" t="s">
        <v>294</v>
      </c>
    </row>
    <row r="59" customFormat="false" ht="23.25" hidden="false" customHeight="true" outlineLevel="0" collapsed="false">
      <c r="A59" s="18" t="n">
        <v>46675</v>
      </c>
      <c r="B59" s="19" t="s">
        <v>73</v>
      </c>
      <c r="C59" s="11" t="s">
        <v>295</v>
      </c>
      <c r="D59" s="19" t="s">
        <v>75</v>
      </c>
      <c r="E59" s="19" t="s">
        <v>136</v>
      </c>
      <c r="F59" s="20" t="n">
        <v>480</v>
      </c>
      <c r="G59" s="11" t="s">
        <v>296</v>
      </c>
      <c r="H59" s="19" t="s">
        <v>243</v>
      </c>
      <c r="I59" s="19" t="s">
        <v>41</v>
      </c>
      <c r="J59" s="18" t="n">
        <v>46614</v>
      </c>
      <c r="K59" s="18" t="n">
        <v>46675</v>
      </c>
      <c r="L59" s="19" t="s">
        <v>79</v>
      </c>
      <c r="M59" s="20" t="n">
        <v>75</v>
      </c>
      <c r="N59" s="11" t="s">
        <v>297</v>
      </c>
    </row>
    <row r="60" customFormat="false" ht="23.25" hidden="false" customHeight="true" outlineLevel="0" collapsed="false">
      <c r="A60" s="18" t="n">
        <v>46696</v>
      </c>
      <c r="B60" s="19" t="s">
        <v>153</v>
      </c>
      <c r="C60" s="11" t="s">
        <v>298</v>
      </c>
      <c r="D60" s="19" t="s">
        <v>155</v>
      </c>
      <c r="E60" s="19" t="s">
        <v>156</v>
      </c>
      <c r="F60" s="20" t="n">
        <v>160</v>
      </c>
      <c r="G60" s="11" t="s">
        <v>299</v>
      </c>
      <c r="H60" s="19" t="s">
        <v>78</v>
      </c>
      <c r="I60" s="19" t="s">
        <v>41</v>
      </c>
      <c r="J60" s="18" t="n">
        <v>46696</v>
      </c>
      <c r="K60" s="18" t="n">
        <v>46878</v>
      </c>
      <c r="L60" s="19" t="s">
        <v>85</v>
      </c>
      <c r="M60" s="20" t="n">
        <v>0</v>
      </c>
      <c r="N60" s="11" t="s">
        <v>300</v>
      </c>
    </row>
    <row r="61" customFormat="false" ht="23.25" hidden="false" customHeight="true" outlineLevel="0" collapsed="false">
      <c r="A61" s="18" t="n">
        <v>46722</v>
      </c>
      <c r="B61" s="19" t="s">
        <v>128</v>
      </c>
      <c r="C61" s="11" t="s">
        <v>301</v>
      </c>
      <c r="D61" s="19" t="s">
        <v>302</v>
      </c>
      <c r="E61" s="19" t="s">
        <v>303</v>
      </c>
      <c r="F61" s="20" t="n">
        <v>0</v>
      </c>
      <c r="G61" s="11" t="s">
        <v>304</v>
      </c>
      <c r="H61" s="19"/>
      <c r="I61" s="19" t="s">
        <v>41</v>
      </c>
      <c r="J61" s="18" t="n">
        <v>46296</v>
      </c>
      <c r="K61" s="18" t="n">
        <v>46568</v>
      </c>
      <c r="L61" s="19" t="s">
        <v>90</v>
      </c>
      <c r="M61" s="20" t="n">
        <v>0</v>
      </c>
      <c r="N61" s="11" t="s">
        <v>305</v>
      </c>
    </row>
    <row r="62" customFormat="false" ht="23.25" hidden="false" customHeight="true" outlineLevel="0" collapsed="false">
      <c r="A62" s="18" t="n">
        <v>46767</v>
      </c>
      <c r="B62" s="19" t="s">
        <v>143</v>
      </c>
      <c r="C62" s="11" t="s">
        <v>306</v>
      </c>
      <c r="D62" s="19" t="s">
        <v>145</v>
      </c>
      <c r="E62" s="19" t="s">
        <v>241</v>
      </c>
      <c r="F62" s="20" t="n">
        <v>55</v>
      </c>
      <c r="G62" s="11" t="s">
        <v>307</v>
      </c>
      <c r="H62" s="19" t="s">
        <v>243</v>
      </c>
      <c r="I62" s="19" t="s">
        <v>29</v>
      </c>
      <c r="J62" s="18" t="n">
        <v>46706</v>
      </c>
      <c r="K62" s="18" t="n">
        <v>46767</v>
      </c>
      <c r="L62" s="19" t="s">
        <v>133</v>
      </c>
      <c r="M62" s="20" t="n">
        <v>165</v>
      </c>
      <c r="N62" s="11" t="s">
        <v>308</v>
      </c>
    </row>
    <row r="63" customFormat="false" ht="15" hidden="false" customHeight="true" outlineLevel="0" collapsed="false">
      <c r="A63" s="18" t="n">
        <v>46772</v>
      </c>
      <c r="B63" s="19" t="s">
        <v>73</v>
      </c>
      <c r="C63" s="11" t="s">
        <v>309</v>
      </c>
      <c r="D63" s="19" t="s">
        <v>75</v>
      </c>
      <c r="E63" s="19" t="s">
        <v>188</v>
      </c>
      <c r="F63" s="20" t="n">
        <v>165</v>
      </c>
      <c r="G63" s="11" t="s">
        <v>268</v>
      </c>
      <c r="H63" s="19" t="s">
        <v>84</v>
      </c>
      <c r="I63" s="19" t="s">
        <v>41</v>
      </c>
      <c r="J63" s="18" t="n">
        <v>46772</v>
      </c>
      <c r="K63" s="18" t="n">
        <v>46863</v>
      </c>
      <c r="L63" s="19" t="s">
        <v>90</v>
      </c>
      <c r="M63" s="20" t="n">
        <v>0</v>
      </c>
      <c r="N63" s="11" t="s">
        <v>310</v>
      </c>
    </row>
    <row r="64" customFormat="false" ht="23.25" hidden="false" customHeight="true" outlineLevel="0" collapsed="false">
      <c r="A64" s="18" t="n">
        <v>46789</v>
      </c>
      <c r="B64" s="19" t="s">
        <v>233</v>
      </c>
      <c r="C64" s="11" t="s">
        <v>311</v>
      </c>
      <c r="D64" s="19" t="s">
        <v>249</v>
      </c>
      <c r="E64" s="19" t="s">
        <v>250</v>
      </c>
      <c r="F64" s="20" t="n">
        <v>0</v>
      </c>
      <c r="G64" s="11" t="s">
        <v>312</v>
      </c>
      <c r="H64" s="19"/>
      <c r="I64" s="19" t="s">
        <v>41</v>
      </c>
      <c r="J64" s="18" t="n">
        <v>46789</v>
      </c>
      <c r="K64" s="18" t="n">
        <v>46818</v>
      </c>
      <c r="L64" s="19" t="s">
        <v>90</v>
      </c>
      <c r="M64" s="20" t="n">
        <v>0</v>
      </c>
      <c r="N64" s="11" t="s">
        <v>313</v>
      </c>
    </row>
    <row r="65" customFormat="false" ht="23.25" hidden="false" customHeight="true" outlineLevel="0" collapsed="false">
      <c r="A65" s="18" t="n">
        <v>46822</v>
      </c>
      <c r="B65" s="19" t="s">
        <v>101</v>
      </c>
      <c r="C65" s="11" t="s">
        <v>314</v>
      </c>
      <c r="D65" s="19" t="s">
        <v>103</v>
      </c>
      <c r="E65" s="19" t="s">
        <v>315</v>
      </c>
      <c r="F65" s="20" t="n">
        <v>75</v>
      </c>
      <c r="G65" s="11" t="s">
        <v>316</v>
      </c>
      <c r="H65" s="19" t="s">
        <v>138</v>
      </c>
      <c r="I65" s="19" t="s">
        <v>29</v>
      </c>
      <c r="J65" s="18" t="n">
        <v>46762</v>
      </c>
      <c r="K65" s="18" t="n">
        <v>46822</v>
      </c>
      <c r="L65" s="19" t="s">
        <v>133</v>
      </c>
      <c r="M65" s="20" t="n">
        <v>75</v>
      </c>
      <c r="N65" s="11" t="s">
        <v>317</v>
      </c>
    </row>
    <row r="66" customFormat="false" ht="23.25" hidden="false" customHeight="true" outlineLevel="0" collapsed="false">
      <c r="A66" s="18" t="n">
        <v>46858</v>
      </c>
      <c r="B66" s="19" t="s">
        <v>153</v>
      </c>
      <c r="C66" s="11" t="s">
        <v>318</v>
      </c>
      <c r="D66" s="19" t="s">
        <v>155</v>
      </c>
      <c r="E66" s="19" t="s">
        <v>156</v>
      </c>
      <c r="F66" s="20" t="n">
        <v>110</v>
      </c>
      <c r="G66" s="11" t="s">
        <v>319</v>
      </c>
      <c r="H66" s="19" t="s">
        <v>84</v>
      </c>
      <c r="I66" s="19" t="s">
        <v>31</v>
      </c>
      <c r="J66" s="18" t="n">
        <v>46858</v>
      </c>
      <c r="K66" s="18" t="n">
        <v>46949</v>
      </c>
      <c r="L66" s="19" t="s">
        <v>85</v>
      </c>
      <c r="M66" s="20" t="n">
        <v>110</v>
      </c>
      <c r="N66" s="11" t="s">
        <v>320</v>
      </c>
    </row>
    <row r="67" customFormat="false" ht="34.5" hidden="false" customHeight="true" outlineLevel="0" collapsed="false">
      <c r="A67" s="18" t="n">
        <v>46905</v>
      </c>
      <c r="B67" s="19" t="s">
        <v>128</v>
      </c>
      <c r="C67" s="11" t="s">
        <v>321</v>
      </c>
      <c r="D67" s="19" t="s">
        <v>322</v>
      </c>
      <c r="E67" s="19" t="s">
        <v>274</v>
      </c>
      <c r="F67" s="20" t="n">
        <v>0</v>
      </c>
      <c r="G67" s="11" t="s">
        <v>323</v>
      </c>
      <c r="H67" s="19"/>
      <c r="I67" s="19" t="s">
        <v>41</v>
      </c>
      <c r="J67" s="18" t="n">
        <v>46874</v>
      </c>
      <c r="K67" s="18" t="n">
        <v>46996</v>
      </c>
      <c r="L67" s="19" t="s">
        <v>85</v>
      </c>
      <c r="M67" s="20" t="n">
        <v>0</v>
      </c>
      <c r="N67" s="11" t="s">
        <v>324</v>
      </c>
    </row>
    <row r="68" customFormat="false" ht="15" hidden="false" customHeight="true" outlineLevel="0" collapsed="false">
      <c r="A68" s="18" t="n">
        <v>46919</v>
      </c>
      <c r="B68" s="19" t="s">
        <v>143</v>
      </c>
      <c r="C68" s="11" t="s">
        <v>325</v>
      </c>
      <c r="D68" s="19" t="s">
        <v>145</v>
      </c>
      <c r="E68" s="19" t="s">
        <v>146</v>
      </c>
      <c r="F68" s="20" t="n">
        <v>55</v>
      </c>
      <c r="G68" s="11" t="s">
        <v>326</v>
      </c>
      <c r="H68" s="19" t="s">
        <v>138</v>
      </c>
      <c r="I68" s="19" t="s">
        <v>31</v>
      </c>
      <c r="J68" s="18" t="n">
        <v>46919</v>
      </c>
      <c r="K68" s="18" t="n">
        <v>47011</v>
      </c>
      <c r="L68" s="19" t="s">
        <v>79</v>
      </c>
      <c r="M68" s="20" t="n">
        <v>110</v>
      </c>
      <c r="N68" s="11" t="s">
        <v>327</v>
      </c>
    </row>
    <row r="69" customFormat="false" ht="34.5" hidden="false" customHeight="true" outlineLevel="0" collapsed="false">
      <c r="A69" s="18" t="n">
        <v>46948</v>
      </c>
      <c r="B69" s="19" t="s">
        <v>128</v>
      </c>
      <c r="C69" s="11" t="s">
        <v>328</v>
      </c>
      <c r="D69" s="19" t="s">
        <v>329</v>
      </c>
      <c r="E69" s="19" t="s">
        <v>330</v>
      </c>
      <c r="F69" s="20" t="n">
        <v>0</v>
      </c>
      <c r="G69" s="11" t="s">
        <v>331</v>
      </c>
      <c r="H69" s="19"/>
      <c r="I69" s="19" t="s">
        <v>41</v>
      </c>
      <c r="J69" s="18" t="n">
        <v>46905</v>
      </c>
      <c r="K69" s="18" t="n">
        <v>47026</v>
      </c>
      <c r="L69" s="19" t="s">
        <v>79</v>
      </c>
      <c r="M69" s="20" t="n">
        <v>0</v>
      </c>
      <c r="N69" s="11" t="s">
        <v>332</v>
      </c>
    </row>
    <row r="70" customFormat="false" ht="23.25" hidden="false" customHeight="true" outlineLevel="0" collapsed="false">
      <c r="A70" s="18" t="n">
        <v>46949</v>
      </c>
      <c r="B70" s="19" t="s">
        <v>122</v>
      </c>
      <c r="C70" s="11" t="s">
        <v>333</v>
      </c>
      <c r="D70" s="19" t="s">
        <v>334</v>
      </c>
      <c r="E70" s="19" t="s">
        <v>156</v>
      </c>
      <c r="F70" s="20" t="n">
        <v>180</v>
      </c>
      <c r="G70" s="11" t="s">
        <v>335</v>
      </c>
      <c r="H70" s="19" t="s">
        <v>78</v>
      </c>
      <c r="I70" s="19" t="s">
        <v>41</v>
      </c>
      <c r="J70" s="18" t="n">
        <v>46949</v>
      </c>
      <c r="K70" s="18" t="n">
        <v>47041</v>
      </c>
      <c r="L70" s="19" t="s">
        <v>85</v>
      </c>
      <c r="M70" s="20" t="n">
        <v>0</v>
      </c>
      <c r="N70" s="11" t="s">
        <v>336</v>
      </c>
    </row>
    <row r="71" customFormat="false" ht="45.75" hidden="false" customHeight="true" outlineLevel="0" collapsed="false">
      <c r="A71" s="18" t="n">
        <v>46980</v>
      </c>
      <c r="B71" s="19" t="s">
        <v>73</v>
      </c>
      <c r="C71" s="11" t="s">
        <v>337</v>
      </c>
      <c r="D71" s="19" t="s">
        <v>75</v>
      </c>
      <c r="E71" s="19" t="s">
        <v>136</v>
      </c>
      <c r="F71" s="20" t="n">
        <v>550</v>
      </c>
      <c r="G71" s="11" t="s">
        <v>338</v>
      </c>
      <c r="H71" s="19" t="s">
        <v>243</v>
      </c>
      <c r="I71" s="19" t="s">
        <v>29</v>
      </c>
      <c r="J71" s="18" t="n">
        <v>46919</v>
      </c>
      <c r="K71" s="18" t="n">
        <v>46980</v>
      </c>
      <c r="L71" s="19" t="s">
        <v>133</v>
      </c>
      <c r="M71" s="20" t="n">
        <v>150</v>
      </c>
      <c r="N71" s="11" t="s">
        <v>339</v>
      </c>
    </row>
    <row r="72" customFormat="false" ht="23.25" hidden="false" customHeight="true" outlineLevel="0" collapsed="false">
      <c r="A72" s="18" t="n">
        <v>47011</v>
      </c>
      <c r="B72" s="19" t="s">
        <v>203</v>
      </c>
      <c r="C72" s="11" t="s">
        <v>340</v>
      </c>
      <c r="D72" s="19" t="s">
        <v>155</v>
      </c>
      <c r="E72" s="19" t="s">
        <v>156</v>
      </c>
      <c r="F72" s="20" t="n">
        <v>180</v>
      </c>
      <c r="G72" s="11" t="s">
        <v>341</v>
      </c>
      <c r="H72" s="19" t="s">
        <v>138</v>
      </c>
      <c r="I72" s="19" t="s">
        <v>29</v>
      </c>
      <c r="J72" s="18" t="n">
        <v>46949</v>
      </c>
      <c r="K72" s="18" t="n">
        <v>47011</v>
      </c>
      <c r="L72" s="19" t="s">
        <v>133</v>
      </c>
      <c r="M72" s="20" t="n">
        <v>180</v>
      </c>
      <c r="N72" s="11" t="s">
        <v>342</v>
      </c>
    </row>
    <row r="73" customFormat="false" ht="23.25" hidden="false" customHeight="true" outlineLevel="0" collapsed="false">
      <c r="A73" s="18" t="n">
        <v>47041</v>
      </c>
      <c r="B73" s="19" t="s">
        <v>343</v>
      </c>
      <c r="C73" s="11" t="s">
        <v>344</v>
      </c>
      <c r="D73" s="19" t="s">
        <v>345</v>
      </c>
      <c r="E73" s="19" t="s">
        <v>346</v>
      </c>
      <c r="F73" s="20" t="n">
        <v>80</v>
      </c>
      <c r="G73" s="11" t="s">
        <v>347</v>
      </c>
      <c r="H73" s="19" t="s">
        <v>138</v>
      </c>
      <c r="I73" s="19" t="s">
        <v>29</v>
      </c>
      <c r="J73" s="18" t="n">
        <v>46980</v>
      </c>
      <c r="K73" s="18" t="n">
        <v>47041</v>
      </c>
      <c r="L73" s="19" t="s">
        <v>133</v>
      </c>
      <c r="M73" s="20" t="n">
        <v>160</v>
      </c>
      <c r="N73" s="11" t="s">
        <v>348</v>
      </c>
    </row>
    <row r="74" customFormat="false" ht="15" hidden="false" customHeight="true" outlineLevel="0" collapsed="false">
      <c r="A74" s="18" t="n">
        <v>47072</v>
      </c>
      <c r="B74" s="19" t="s">
        <v>111</v>
      </c>
      <c r="C74" s="11" t="s">
        <v>349</v>
      </c>
      <c r="D74" s="19" t="s">
        <v>113</v>
      </c>
      <c r="E74" s="19" t="s">
        <v>192</v>
      </c>
      <c r="F74" s="20" t="n">
        <v>130</v>
      </c>
      <c r="G74" s="11" t="s">
        <v>350</v>
      </c>
      <c r="H74" s="19" t="s">
        <v>78</v>
      </c>
      <c r="I74" s="19" t="s">
        <v>31</v>
      </c>
      <c r="J74" s="18" t="n">
        <v>47072</v>
      </c>
      <c r="K74" s="18" t="n">
        <v>47164</v>
      </c>
      <c r="L74" s="19" t="s">
        <v>85</v>
      </c>
      <c r="M74" s="20" t="n">
        <v>130</v>
      </c>
      <c r="N74" s="11" t="s">
        <v>351</v>
      </c>
    </row>
    <row r="75" customFormat="false" ht="23.25" hidden="false" customHeight="true" outlineLevel="0" collapsed="false">
      <c r="A75" s="18" t="n">
        <v>47088</v>
      </c>
      <c r="B75" s="19" t="s">
        <v>153</v>
      </c>
      <c r="C75" s="11" t="s">
        <v>352</v>
      </c>
      <c r="D75" s="19" t="s">
        <v>155</v>
      </c>
      <c r="E75" s="19" t="s">
        <v>353</v>
      </c>
      <c r="F75" s="20" t="n">
        <v>400</v>
      </c>
      <c r="G75" s="11" t="s">
        <v>354</v>
      </c>
      <c r="H75" s="19" t="s">
        <v>84</v>
      </c>
      <c r="I75" s="19" t="s">
        <v>41</v>
      </c>
      <c r="J75" s="18" t="n">
        <v>47088</v>
      </c>
      <c r="K75" s="18" t="n">
        <v>47270</v>
      </c>
      <c r="L75" s="19" t="s">
        <v>90</v>
      </c>
      <c r="M75" s="20" t="n">
        <v>0</v>
      </c>
      <c r="N75" s="11" t="s">
        <v>355</v>
      </c>
    </row>
    <row r="76" customFormat="false" ht="34.5" hidden="false" customHeight="true" outlineLevel="0" collapsed="false">
      <c r="A76" s="18" t="n">
        <v>47133</v>
      </c>
      <c r="B76" s="19" t="s">
        <v>343</v>
      </c>
      <c r="C76" s="11" t="s">
        <v>356</v>
      </c>
      <c r="D76" s="19" t="s">
        <v>345</v>
      </c>
      <c r="E76" s="19" t="s">
        <v>357</v>
      </c>
      <c r="F76" s="20" t="n">
        <v>100</v>
      </c>
      <c r="G76" s="11" t="s">
        <v>358</v>
      </c>
      <c r="H76" s="19" t="s">
        <v>243</v>
      </c>
      <c r="I76" s="19" t="s">
        <v>29</v>
      </c>
      <c r="J76" s="18" t="n">
        <v>47072</v>
      </c>
      <c r="K76" s="18" t="n">
        <v>47133</v>
      </c>
      <c r="L76" s="19" t="s">
        <v>133</v>
      </c>
      <c r="M76" s="20" t="n">
        <v>200</v>
      </c>
      <c r="N76" s="11" t="s">
        <v>359</v>
      </c>
    </row>
    <row r="77" customFormat="false" ht="23.25" hidden="false" customHeight="true" outlineLevel="0" collapsed="false">
      <c r="A77" s="18" t="n">
        <v>47153</v>
      </c>
      <c r="B77" s="19" t="s">
        <v>233</v>
      </c>
      <c r="C77" s="11" t="s">
        <v>360</v>
      </c>
      <c r="D77" s="19" t="s">
        <v>249</v>
      </c>
      <c r="E77" s="19" t="s">
        <v>250</v>
      </c>
      <c r="F77" s="20" t="n">
        <v>0</v>
      </c>
      <c r="G77" s="11" t="s">
        <v>361</v>
      </c>
      <c r="H77" s="19"/>
      <c r="I77" s="19" t="s">
        <v>41</v>
      </c>
      <c r="J77" s="18" t="n">
        <v>47153</v>
      </c>
      <c r="K77" s="18" t="n">
        <v>47181</v>
      </c>
      <c r="L77" s="19" t="s">
        <v>90</v>
      </c>
      <c r="M77" s="20" t="n">
        <v>0</v>
      </c>
      <c r="N77" s="11" t="s">
        <v>362</v>
      </c>
    </row>
    <row r="78" customFormat="false" ht="23.25" hidden="false" customHeight="true" outlineLevel="0" collapsed="false">
      <c r="A78" s="18" t="n">
        <v>47164</v>
      </c>
      <c r="B78" s="19" t="s">
        <v>143</v>
      </c>
      <c r="C78" s="11" t="s">
        <v>363</v>
      </c>
      <c r="D78" s="19" t="s">
        <v>145</v>
      </c>
      <c r="E78" s="19" t="s">
        <v>364</v>
      </c>
      <c r="F78" s="20" t="n">
        <v>55</v>
      </c>
      <c r="G78" s="11" t="s">
        <v>365</v>
      </c>
      <c r="H78" s="19" t="s">
        <v>78</v>
      </c>
      <c r="I78" s="19" t="s">
        <v>31</v>
      </c>
      <c r="J78" s="18" t="n">
        <v>47164</v>
      </c>
      <c r="K78" s="18" t="n">
        <v>47253</v>
      </c>
      <c r="L78" s="19" t="s">
        <v>85</v>
      </c>
      <c r="M78" s="20" t="n">
        <v>55</v>
      </c>
      <c r="N78" s="11" t="s">
        <v>366</v>
      </c>
    </row>
    <row r="79" customFormat="false" ht="23.25" hidden="false" customHeight="true" outlineLevel="0" collapsed="false">
      <c r="A79" s="18" t="n">
        <v>47197</v>
      </c>
      <c r="B79" s="19" t="s">
        <v>73</v>
      </c>
      <c r="C79" s="11" t="s">
        <v>367</v>
      </c>
      <c r="D79" s="19" t="s">
        <v>75</v>
      </c>
      <c r="E79" s="19" t="s">
        <v>136</v>
      </c>
      <c r="F79" s="20" t="n">
        <v>500</v>
      </c>
      <c r="G79" s="11" t="s">
        <v>368</v>
      </c>
      <c r="H79" s="19" t="s">
        <v>138</v>
      </c>
      <c r="I79" s="19" t="s">
        <v>41</v>
      </c>
      <c r="J79" s="18" t="n">
        <v>47138</v>
      </c>
      <c r="K79" s="18" t="n">
        <v>47197</v>
      </c>
      <c r="L79" s="19" t="s">
        <v>85</v>
      </c>
      <c r="M79" s="20" t="n">
        <v>75</v>
      </c>
      <c r="N79" s="11" t="s">
        <v>369</v>
      </c>
    </row>
  </sheetData>
  <autoFilter ref="A4:N79"/>
  <mergeCells count="2">
    <mergeCell ref="A1:N1"/>
    <mergeCell ref="A2:N2"/>
  </mergeCells>
  <conditionalFormatting sqref="L5:L79">
    <cfRule type="expression" priority="2" aboveAverage="0" equalAverage="0" bottom="0" percent="0" rank="0" text="" dxfId="6">
      <formula>LEFT(L5,1)="1"</formula>
    </cfRule>
    <cfRule type="expression" priority="3" aboveAverage="0" equalAverage="0" bottom="0" percent="0" rank="0" text="" dxfId="7">
      <formula>LEFT(L5,1)="2"</formula>
    </cfRule>
    <cfRule type="expression" priority="4" aboveAverage="0" equalAverage="0" bottom="0" percent="0" rank="0" text="" dxfId="8">
      <formula>LEFT(L5,1)="5"</formula>
    </cfRule>
  </conditionalFormatting>
  <conditionalFormatting sqref="I5:I79">
    <cfRule type="expression" priority="5" aboveAverage="0" equalAverage="0" bottom="0" percent="0" rank="0" text="" dxfId="8">
      <formula>I5="SKIP — do not buy"</formula>
    </cfRule>
    <cfRule type="expression" priority="6" aboveAverage="0" equalAverage="0" bottom="0" percent="0" rank="0" text="" dxfId="6">
      <formula>I5="Preorder now"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38"/>
    <col collapsed="false" customWidth="true" hidden="false" outlineLevel="0" max="5" min="5" style="1" width="24"/>
    <col collapsed="false" customWidth="true" hidden="false" outlineLevel="0" max="6" min="6" style="1" width="11"/>
    <col collapsed="false" customWidth="true" hidden="false" outlineLevel="0" max="7" min="7" style="1" width="55"/>
  </cols>
  <sheetData>
    <row r="1" customFormat="false" ht="19.5" hidden="false" customHeight="true" outlineLevel="0" collapsed="false">
      <c r="A1" s="2" t="s">
        <v>370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371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5" t="s">
        <v>372</v>
      </c>
      <c r="B4" s="21" t="n">
        <f aca="true">TODAY()</f>
        <v>46187</v>
      </c>
    </row>
    <row r="5" customFormat="false" ht="15" hidden="false" customHeight="true" outlineLevel="0" collapsed="false">
      <c r="A5" s="5" t="s">
        <v>373</v>
      </c>
      <c r="B5" s="21" t="n">
        <f aca="true">TODAY()+45</f>
        <v>46232</v>
      </c>
    </row>
    <row r="7" customFormat="false" ht="15" hidden="false" customHeight="true" outlineLevel="0" collapsed="false">
      <c r="A7" s="9" t="s">
        <v>70</v>
      </c>
      <c r="B7" s="9" t="s">
        <v>59</v>
      </c>
      <c r="C7" s="9" t="s">
        <v>60</v>
      </c>
      <c r="D7" s="9" t="s">
        <v>374</v>
      </c>
      <c r="E7" s="9" t="s">
        <v>67</v>
      </c>
      <c r="F7" s="9" t="s">
        <v>71</v>
      </c>
      <c r="G7" s="9" t="s">
        <v>72</v>
      </c>
    </row>
    <row r="8" customFormat="false" ht="23.25" hidden="false" customHeight="true" outlineLevel="0" collapsed="false">
      <c r="A8" s="19" t="s">
        <v>79</v>
      </c>
      <c r="B8" s="18" t="n">
        <v>46113</v>
      </c>
      <c r="C8" s="19" t="s">
        <v>122</v>
      </c>
      <c r="D8" s="11" t="s">
        <v>123</v>
      </c>
      <c r="E8" s="19" t="s">
        <v>31</v>
      </c>
      <c r="F8" s="20" t="n">
        <v>30</v>
      </c>
      <c r="G8" s="11" t="s">
        <v>127</v>
      </c>
    </row>
    <row r="9" customFormat="false" ht="23.25" hidden="false" customHeight="true" outlineLevel="0" collapsed="false">
      <c r="A9" s="19" t="s">
        <v>133</v>
      </c>
      <c r="B9" s="18" t="n">
        <v>46127</v>
      </c>
      <c r="C9" s="19" t="s">
        <v>73</v>
      </c>
      <c r="D9" s="11" t="s">
        <v>135</v>
      </c>
      <c r="E9" s="19" t="s">
        <v>29</v>
      </c>
      <c r="F9" s="20" t="n">
        <v>120</v>
      </c>
      <c r="G9" s="11" t="s">
        <v>139</v>
      </c>
    </row>
    <row r="10" customFormat="false" ht="23.25" hidden="false" customHeight="true" outlineLevel="0" collapsed="false">
      <c r="A10" s="19" t="s">
        <v>133</v>
      </c>
      <c r="B10" s="18" t="n">
        <v>46127</v>
      </c>
      <c r="C10" s="19" t="s">
        <v>73</v>
      </c>
      <c r="D10" s="11" t="s">
        <v>140</v>
      </c>
      <c r="E10" s="19" t="s">
        <v>29</v>
      </c>
      <c r="F10" s="20" t="n">
        <v>75</v>
      </c>
      <c r="G10" s="11" t="s">
        <v>142</v>
      </c>
    </row>
    <row r="11" customFormat="false" ht="23.25" hidden="false" customHeight="true" outlineLevel="0" collapsed="false">
      <c r="A11" s="19" t="s">
        <v>79</v>
      </c>
      <c r="B11" s="18" t="n">
        <v>46129</v>
      </c>
      <c r="C11" s="19" t="s">
        <v>73</v>
      </c>
      <c r="D11" s="11" t="s">
        <v>74</v>
      </c>
      <c r="E11" s="19" t="s">
        <v>31</v>
      </c>
      <c r="F11" s="20" t="n">
        <v>30</v>
      </c>
      <c r="G11" s="11" t="s">
        <v>80</v>
      </c>
    </row>
    <row r="12" customFormat="false" ht="23.25" hidden="false" customHeight="true" outlineLevel="0" collapsed="false">
      <c r="A12" s="19" t="s">
        <v>79</v>
      </c>
      <c r="B12" s="18" t="n">
        <v>46132</v>
      </c>
      <c r="C12" s="19" t="s">
        <v>203</v>
      </c>
      <c r="D12" s="11" t="s">
        <v>207</v>
      </c>
      <c r="E12" s="19" t="s">
        <v>41</v>
      </c>
      <c r="F12" s="20" t="n">
        <v>0</v>
      </c>
      <c r="G12" s="11" t="s">
        <v>210</v>
      </c>
    </row>
    <row r="13" customFormat="false" ht="23.25" hidden="false" customHeight="true" outlineLevel="0" collapsed="false">
      <c r="A13" s="19" t="s">
        <v>79</v>
      </c>
      <c r="B13" s="18" t="n">
        <v>46134</v>
      </c>
      <c r="C13" s="19" t="s">
        <v>111</v>
      </c>
      <c r="D13" s="11" t="s">
        <v>112</v>
      </c>
      <c r="E13" s="19" t="s">
        <v>29</v>
      </c>
      <c r="F13" s="20" t="n">
        <v>120</v>
      </c>
      <c r="G13" s="11" t="s">
        <v>115</v>
      </c>
    </row>
    <row r="14" customFormat="false" ht="23.25" hidden="false" customHeight="true" outlineLevel="0" collapsed="false">
      <c r="A14" s="19" t="s">
        <v>79</v>
      </c>
      <c r="B14" s="18" t="n">
        <v>46136</v>
      </c>
      <c r="C14" s="19" t="s">
        <v>73</v>
      </c>
      <c r="D14" s="11" t="s">
        <v>92</v>
      </c>
      <c r="E14" s="19" t="s">
        <v>31</v>
      </c>
      <c r="F14" s="20" t="n">
        <v>50</v>
      </c>
      <c r="G14" s="11" t="s">
        <v>95</v>
      </c>
    </row>
    <row r="15" customFormat="false" ht="23.25" hidden="false" customHeight="true" outlineLevel="0" collapsed="false">
      <c r="A15" s="19" t="s">
        <v>99</v>
      </c>
      <c r="B15" s="18" t="n">
        <v>46136</v>
      </c>
      <c r="C15" s="19" t="s">
        <v>73</v>
      </c>
      <c r="D15" s="11" t="s">
        <v>96</v>
      </c>
      <c r="E15" s="19" t="s">
        <v>43</v>
      </c>
      <c r="F15" s="20" t="n">
        <v>0</v>
      </c>
      <c r="G15" s="11" t="s">
        <v>100</v>
      </c>
    </row>
    <row r="16" customFormat="false" ht="23.25" hidden="false" customHeight="true" outlineLevel="0" collapsed="false">
      <c r="A16" s="19" t="s">
        <v>133</v>
      </c>
      <c r="B16" s="18" t="n">
        <v>46143</v>
      </c>
      <c r="C16" s="19" t="s">
        <v>143</v>
      </c>
      <c r="D16" s="11" t="s">
        <v>144</v>
      </c>
      <c r="E16" s="19" t="s">
        <v>29</v>
      </c>
      <c r="F16" s="20" t="n">
        <v>100</v>
      </c>
      <c r="G16" s="11" t="s">
        <v>148</v>
      </c>
    </row>
    <row r="17" customFormat="false" ht="34.5" hidden="false" customHeight="true" outlineLevel="0" collapsed="false">
      <c r="A17" s="19" t="s">
        <v>133</v>
      </c>
      <c r="B17" s="18" t="n">
        <v>46143</v>
      </c>
      <c r="C17" s="19" t="s">
        <v>122</v>
      </c>
      <c r="D17" s="11" t="s">
        <v>163</v>
      </c>
      <c r="E17" s="19" t="s">
        <v>29</v>
      </c>
      <c r="F17" s="20" t="n">
        <v>180</v>
      </c>
      <c r="G17" s="11" t="s">
        <v>166</v>
      </c>
    </row>
    <row r="18" customFormat="false" ht="23.25" hidden="false" customHeight="true" outlineLevel="0" collapsed="false">
      <c r="A18" s="19" t="s">
        <v>79</v>
      </c>
      <c r="B18" s="18" t="n">
        <v>46157</v>
      </c>
      <c r="C18" s="19" t="s">
        <v>101</v>
      </c>
      <c r="D18" s="11" t="s">
        <v>102</v>
      </c>
      <c r="E18" s="19" t="s">
        <v>31</v>
      </c>
      <c r="F18" s="20" t="n">
        <v>50</v>
      </c>
      <c r="G18" s="11" t="s">
        <v>106</v>
      </c>
    </row>
    <row r="19" customFormat="false" ht="23.25" hidden="false" customHeight="true" outlineLevel="0" collapsed="false">
      <c r="A19" s="19" t="s">
        <v>90</v>
      </c>
      <c r="B19" s="18" t="n">
        <v>46164</v>
      </c>
      <c r="C19" s="19" t="s">
        <v>116</v>
      </c>
      <c r="D19" s="11" t="s">
        <v>117</v>
      </c>
      <c r="E19" s="19" t="s">
        <v>41</v>
      </c>
      <c r="F19" s="20" t="n">
        <v>0</v>
      </c>
      <c r="G19" s="11" t="s">
        <v>121</v>
      </c>
    </row>
    <row r="20" customFormat="false" ht="23.25" hidden="false" customHeight="true" outlineLevel="0" collapsed="false">
      <c r="A20" s="19" t="s">
        <v>79</v>
      </c>
      <c r="B20" s="18" t="n">
        <v>46167</v>
      </c>
      <c r="C20" s="19" t="s">
        <v>73</v>
      </c>
      <c r="D20" s="11" t="s">
        <v>177</v>
      </c>
      <c r="E20" s="19" t="s">
        <v>29</v>
      </c>
      <c r="F20" s="20" t="n">
        <v>160</v>
      </c>
      <c r="G20" s="11" t="s">
        <v>180</v>
      </c>
    </row>
    <row r="21" customFormat="false" ht="23.25" hidden="false" customHeight="true" outlineLevel="0" collapsed="false">
      <c r="A21" s="19" t="s">
        <v>133</v>
      </c>
      <c r="B21" s="18" t="n">
        <v>46184</v>
      </c>
      <c r="C21" s="19" t="s">
        <v>128</v>
      </c>
      <c r="D21" s="11" t="s">
        <v>129</v>
      </c>
      <c r="E21" s="19" t="s">
        <v>41</v>
      </c>
      <c r="F21" s="20" t="n">
        <v>0</v>
      </c>
      <c r="G21" s="11" t="s">
        <v>134</v>
      </c>
    </row>
    <row r="22" customFormat="false" ht="15" hidden="false" customHeight="true" outlineLevel="0" collapsed="false">
      <c r="A22" s="19" t="s">
        <v>85</v>
      </c>
      <c r="B22" s="18" t="n">
        <v>46188</v>
      </c>
      <c r="C22" s="19" t="s">
        <v>143</v>
      </c>
      <c r="D22" s="11" t="s">
        <v>149</v>
      </c>
      <c r="E22" s="19" t="s">
        <v>31</v>
      </c>
      <c r="F22" s="20" t="n">
        <v>27</v>
      </c>
      <c r="G22" s="11" t="s">
        <v>152</v>
      </c>
    </row>
    <row r="23" customFormat="false" ht="23.25" hidden="false" customHeight="true" outlineLevel="0" collapsed="false">
      <c r="A23" s="19" t="s">
        <v>79</v>
      </c>
      <c r="B23" s="18" t="n">
        <v>46188</v>
      </c>
      <c r="C23" s="19" t="s">
        <v>233</v>
      </c>
      <c r="D23" s="11" t="s">
        <v>237</v>
      </c>
      <c r="E23" s="19" t="s">
        <v>41</v>
      </c>
      <c r="F23" s="20" t="n">
        <v>0</v>
      </c>
      <c r="G23" s="11" t="s">
        <v>239</v>
      </c>
    </row>
    <row r="24" customFormat="false" ht="23.25" hidden="false" customHeight="true" outlineLevel="0" collapsed="false">
      <c r="A24" s="19" t="s">
        <v>85</v>
      </c>
      <c r="B24" s="18" t="n">
        <v>46192</v>
      </c>
      <c r="C24" s="19" t="s">
        <v>153</v>
      </c>
      <c r="D24" s="11" t="s">
        <v>154</v>
      </c>
      <c r="E24" s="19" t="s">
        <v>31</v>
      </c>
      <c r="F24" s="20" t="n">
        <v>110</v>
      </c>
      <c r="G24" s="11" t="s">
        <v>158</v>
      </c>
    </row>
    <row r="25" customFormat="false" ht="23.25" hidden="false" customHeight="true" outlineLevel="0" collapsed="false">
      <c r="A25" s="19" t="s">
        <v>79</v>
      </c>
      <c r="B25" s="18" t="n">
        <v>46204</v>
      </c>
      <c r="C25" s="19" t="s">
        <v>111</v>
      </c>
      <c r="D25" s="11" t="s">
        <v>191</v>
      </c>
      <c r="E25" s="19" t="s">
        <v>29</v>
      </c>
      <c r="F25" s="20" t="n">
        <v>120</v>
      </c>
      <c r="G25" s="11" t="s">
        <v>194</v>
      </c>
    </row>
    <row r="26" customFormat="false" ht="23.25" hidden="false" customHeight="true" outlineLevel="0" collapsed="false">
      <c r="A26" s="19" t="s">
        <v>133</v>
      </c>
      <c r="B26" s="18" t="n">
        <v>46218</v>
      </c>
      <c r="C26" s="19" t="s">
        <v>203</v>
      </c>
      <c r="D26" s="11" t="s">
        <v>204</v>
      </c>
      <c r="E26" s="19" t="s">
        <v>29</v>
      </c>
      <c r="F26" s="20" t="n">
        <v>180</v>
      </c>
      <c r="G26" s="11" t="s">
        <v>206</v>
      </c>
    </row>
    <row r="27" customFormat="false" ht="23.25" hidden="false" customHeight="true" outlineLevel="0" collapsed="false">
      <c r="A27" s="19" t="s">
        <v>133</v>
      </c>
      <c r="B27" s="18" t="n">
        <v>46222</v>
      </c>
      <c r="C27" s="19" t="s">
        <v>128</v>
      </c>
      <c r="D27" s="11" t="s">
        <v>159</v>
      </c>
      <c r="E27" s="19" t="s">
        <v>41</v>
      </c>
      <c r="F27" s="20" t="n">
        <v>0</v>
      </c>
      <c r="G27" s="11" t="s">
        <v>162</v>
      </c>
    </row>
    <row r="28" customFormat="false" ht="15" hidden="false" customHeight="true" outlineLevel="0" collapsed="false">
      <c r="A28" s="19" t="s">
        <v>79</v>
      </c>
      <c r="B28" s="18" t="n">
        <v>46223</v>
      </c>
      <c r="C28" s="19" t="s">
        <v>122</v>
      </c>
      <c r="D28" s="11" t="s">
        <v>167</v>
      </c>
      <c r="E28" s="19" t="s">
        <v>31</v>
      </c>
      <c r="F28" s="20" t="n">
        <v>140</v>
      </c>
      <c r="G28" s="11" t="s">
        <v>169</v>
      </c>
    </row>
    <row r="29" customFormat="false" ht="23.25" hidden="false" customHeight="true" outlineLevel="0" collapsed="false">
      <c r="A29" s="19" t="s">
        <v>85</v>
      </c>
      <c r="B29" s="18" t="n">
        <v>46223</v>
      </c>
      <c r="C29" s="19" t="s">
        <v>122</v>
      </c>
      <c r="D29" s="11" t="s">
        <v>170</v>
      </c>
      <c r="E29" s="19" t="s">
        <v>31</v>
      </c>
      <c r="F29" s="20" t="n">
        <v>75</v>
      </c>
      <c r="G29" s="11" t="s">
        <v>173</v>
      </c>
    </row>
    <row r="30" customFormat="false" ht="15" hidden="false" customHeight="true" outlineLevel="0" collapsed="false">
      <c r="A30" s="19" t="s">
        <v>85</v>
      </c>
      <c r="B30" s="18" t="n">
        <v>46227</v>
      </c>
      <c r="C30" s="19" t="s">
        <v>73</v>
      </c>
      <c r="D30" s="11" t="s">
        <v>81</v>
      </c>
      <c r="E30" s="19" t="s">
        <v>33</v>
      </c>
      <c r="F30" s="20" t="n">
        <v>120</v>
      </c>
      <c r="G30" s="11" t="s">
        <v>86</v>
      </c>
    </row>
    <row r="31" customFormat="false" ht="23.25" hidden="false" customHeight="true" outlineLevel="0" collapsed="false">
      <c r="A31" s="19" t="s">
        <v>90</v>
      </c>
      <c r="B31" s="18" t="n">
        <v>46227</v>
      </c>
      <c r="C31" s="19" t="s">
        <v>73</v>
      </c>
      <c r="D31" s="11" t="s">
        <v>87</v>
      </c>
      <c r="E31" s="19" t="s">
        <v>41</v>
      </c>
      <c r="F31" s="20" t="n">
        <v>0</v>
      </c>
      <c r="G31" s="11" t="s">
        <v>91</v>
      </c>
    </row>
    <row r="32" customFormat="false" ht="23.25" hidden="false" customHeight="true" outlineLevel="0" collapsed="false">
      <c r="A32" s="19" t="s">
        <v>85</v>
      </c>
      <c r="B32" s="18" t="n">
        <v>46228</v>
      </c>
      <c r="C32" s="19" t="s">
        <v>73</v>
      </c>
      <c r="D32" s="11" t="s">
        <v>174</v>
      </c>
      <c r="E32" s="19" t="s">
        <v>41</v>
      </c>
      <c r="F32" s="20" t="n">
        <v>0</v>
      </c>
      <c r="G32" s="11" t="s">
        <v>176</v>
      </c>
    </row>
    <row r="34" customFormat="false" ht="15" hidden="false" customHeight="true" outlineLevel="0" collapsed="false">
      <c r="A34" s="3" t="s">
        <v>375</v>
      </c>
      <c r="B34" s="3"/>
      <c r="C34" s="3"/>
      <c r="D34" s="3"/>
      <c r="E34" s="3"/>
      <c r="F34" s="3"/>
      <c r="G34" s="3"/>
    </row>
  </sheetData>
  <mergeCells count="3">
    <mergeCell ref="A1:G1"/>
    <mergeCell ref="A2:G2"/>
    <mergeCell ref="A34:G34"/>
  </mergeCells>
  <conditionalFormatting sqref="A8:A32">
    <cfRule type="expression" priority="2" aboveAverage="0" equalAverage="0" bottom="0" percent="0" rank="0" text="" dxfId="6">
      <formula>LEFT(A8,1)="1"</formula>
    </cfRule>
    <cfRule type="expression" priority="3" aboveAverage="0" equalAverage="0" bottom="0" percent="0" rank="0" text="" dxfId="8">
      <formula>LEFT(A8,1)="5"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12"/>
  </cols>
  <sheetData>
    <row r="1" customFormat="false" ht="19.5" hidden="false" customHeight="true" outlineLevel="0" collapsed="false">
      <c r="A1" s="22" t="s">
        <v>376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23" t="s">
        <v>377</v>
      </c>
      <c r="B2" s="23"/>
      <c r="C2" s="23"/>
      <c r="D2" s="23"/>
      <c r="E2" s="23"/>
      <c r="F2" s="23"/>
    </row>
    <row r="4" customFormat="false" ht="15" hidden="false" customHeight="true" outlineLevel="0" collapsed="false">
      <c r="A4" s="24" t="s">
        <v>2</v>
      </c>
    </row>
    <row r="6" customFormat="false" ht="25.5" hidden="false" customHeight="true" outlineLevel="0" collapsed="false">
      <c r="A6" s="25" t="s">
        <v>378</v>
      </c>
      <c r="B6" s="26" t="s">
        <v>379</v>
      </c>
      <c r="C6" s="27"/>
      <c r="D6" s="27"/>
      <c r="E6" s="27"/>
      <c r="F6" s="27"/>
    </row>
    <row r="7" customFormat="false" ht="15" hidden="false" customHeight="true" outlineLevel="0" collapsed="false">
      <c r="A7" s="28" t="s">
        <v>59</v>
      </c>
      <c r="B7" s="28" t="s">
        <v>60</v>
      </c>
      <c r="C7" s="28" t="s">
        <v>374</v>
      </c>
      <c r="D7" s="28" t="s">
        <v>380</v>
      </c>
      <c r="E7" s="28" t="s">
        <v>70</v>
      </c>
      <c r="F7" s="28" t="s">
        <v>381</v>
      </c>
    </row>
    <row r="8" customFormat="false" ht="15" hidden="false" customHeight="true" outlineLevel="0" collapsed="false">
      <c r="A8" s="29" t="n">
        <v>46129</v>
      </c>
      <c r="B8" s="30" t="s">
        <v>73</v>
      </c>
      <c r="C8" s="17" t="s">
        <v>74</v>
      </c>
      <c r="D8" s="30" t="s">
        <v>31</v>
      </c>
      <c r="E8" s="31" t="s">
        <v>79</v>
      </c>
      <c r="F8" s="32" t="n">
        <v>30</v>
      </c>
    </row>
    <row r="9" customFormat="false" ht="15" hidden="false" customHeight="true" outlineLevel="0" collapsed="false">
      <c r="A9" s="29" t="n">
        <v>46136</v>
      </c>
      <c r="B9" s="30" t="s">
        <v>73</v>
      </c>
      <c r="C9" s="17" t="s">
        <v>92</v>
      </c>
      <c r="D9" s="30" t="s">
        <v>31</v>
      </c>
      <c r="E9" s="31" t="s">
        <v>79</v>
      </c>
      <c r="F9" s="32" t="n">
        <v>50</v>
      </c>
    </row>
    <row r="10" customFormat="false" ht="15" hidden="false" customHeight="true" outlineLevel="0" collapsed="false">
      <c r="A10" s="29" t="n">
        <v>46136</v>
      </c>
      <c r="B10" s="30" t="s">
        <v>73</v>
      </c>
      <c r="C10" s="17" t="s">
        <v>81</v>
      </c>
      <c r="D10" s="30" t="s">
        <v>33</v>
      </c>
      <c r="E10" s="33" t="s">
        <v>85</v>
      </c>
      <c r="F10" s="32" t="n">
        <v>120</v>
      </c>
    </row>
    <row r="11" customFormat="false" ht="15" hidden="false" customHeight="true" outlineLevel="0" collapsed="false">
      <c r="A11" s="29" t="n">
        <v>46136</v>
      </c>
      <c r="B11" s="30" t="s">
        <v>73</v>
      </c>
      <c r="C11" s="17" t="s">
        <v>87</v>
      </c>
      <c r="D11" s="30" t="s">
        <v>41</v>
      </c>
      <c r="E11" s="34" t="s">
        <v>90</v>
      </c>
      <c r="F11" s="30" t="n">
        <v>0</v>
      </c>
    </row>
    <row r="12" customFormat="false" ht="15" hidden="false" customHeight="true" outlineLevel="0" collapsed="false">
      <c r="A12" s="29" t="n">
        <v>46136</v>
      </c>
      <c r="B12" s="30" t="s">
        <v>73</v>
      </c>
      <c r="C12" s="17" t="s">
        <v>96</v>
      </c>
      <c r="D12" s="30" t="s">
        <v>43</v>
      </c>
      <c r="E12" s="35" t="s">
        <v>99</v>
      </c>
      <c r="F12" s="30" t="n">
        <v>0</v>
      </c>
    </row>
    <row r="13" customFormat="false" ht="15" hidden="false" customHeight="true" outlineLevel="0" collapsed="false">
      <c r="A13" s="29" t="n">
        <v>46157</v>
      </c>
      <c r="B13" s="30" t="s">
        <v>101</v>
      </c>
      <c r="C13" s="17" t="s">
        <v>102</v>
      </c>
      <c r="D13" s="30" t="s">
        <v>31</v>
      </c>
      <c r="E13" s="31" t="s">
        <v>79</v>
      </c>
      <c r="F13" s="32" t="n">
        <v>50</v>
      </c>
    </row>
    <row r="14" customFormat="false" ht="15" hidden="false" customHeight="true" outlineLevel="0" collapsed="false">
      <c r="A14" s="29" t="n">
        <v>46157</v>
      </c>
      <c r="B14" s="30" t="s">
        <v>101</v>
      </c>
      <c r="C14" s="17" t="s">
        <v>107</v>
      </c>
      <c r="D14" s="30" t="s">
        <v>33</v>
      </c>
      <c r="E14" s="33" t="s">
        <v>85</v>
      </c>
      <c r="F14" s="32" t="n">
        <v>140</v>
      </c>
    </row>
    <row r="15" customFormat="false" ht="15" hidden="false" customHeight="true" outlineLevel="0" collapsed="false">
      <c r="A15" s="29" t="n">
        <v>46164</v>
      </c>
      <c r="B15" s="30" t="s">
        <v>111</v>
      </c>
      <c r="C15" s="17" t="s">
        <v>112</v>
      </c>
      <c r="D15" s="30" t="s">
        <v>29</v>
      </c>
      <c r="E15" s="31" t="s">
        <v>79</v>
      </c>
      <c r="F15" s="32" t="n">
        <v>120</v>
      </c>
    </row>
    <row r="16" customFormat="false" ht="15" hidden="false" customHeight="true" outlineLevel="0" collapsed="false">
      <c r="A16" s="29" t="n">
        <v>46164</v>
      </c>
      <c r="B16" s="30" t="s">
        <v>116</v>
      </c>
      <c r="C16" s="17" t="s">
        <v>117</v>
      </c>
      <c r="D16" s="30" t="s">
        <v>41</v>
      </c>
      <c r="E16" s="34" t="s">
        <v>90</v>
      </c>
      <c r="F16" s="30" t="n">
        <v>0</v>
      </c>
    </row>
    <row r="17" customFormat="false" ht="15" hidden="false" customHeight="true" outlineLevel="0" collapsed="false">
      <c r="A17" s="29" t="n">
        <v>46174</v>
      </c>
      <c r="B17" s="30" t="s">
        <v>122</v>
      </c>
      <c r="C17" s="17" t="s">
        <v>123</v>
      </c>
      <c r="D17" s="30" t="s">
        <v>31</v>
      </c>
      <c r="E17" s="31" t="s">
        <v>79</v>
      </c>
      <c r="F17" s="32" t="n">
        <v>30</v>
      </c>
    </row>
    <row r="18" customFormat="false" ht="15" hidden="false" customHeight="true" outlineLevel="0" collapsed="false">
      <c r="A18" s="29" t="n">
        <v>46184</v>
      </c>
      <c r="B18" s="30" t="s">
        <v>128</v>
      </c>
      <c r="C18" s="17" t="s">
        <v>129</v>
      </c>
      <c r="D18" s="30" t="s">
        <v>41</v>
      </c>
      <c r="E18" s="36" t="s">
        <v>133</v>
      </c>
      <c r="F18" s="30" t="n">
        <v>0</v>
      </c>
    </row>
    <row r="19" customFormat="false" ht="15" hidden="false" customHeight="true" outlineLevel="0" collapsed="false">
      <c r="A19" s="29" t="n">
        <v>46186</v>
      </c>
      <c r="B19" s="30" t="s">
        <v>73</v>
      </c>
      <c r="C19" s="17" t="s">
        <v>135</v>
      </c>
      <c r="D19" s="30" t="s">
        <v>29</v>
      </c>
      <c r="E19" s="36" t="s">
        <v>133</v>
      </c>
      <c r="F19" s="32" t="n">
        <v>120</v>
      </c>
    </row>
    <row r="20" customFormat="false" ht="15" hidden="false" customHeight="true" outlineLevel="0" collapsed="false">
      <c r="A20" s="29" t="n">
        <v>46186</v>
      </c>
      <c r="B20" s="30" t="s">
        <v>73</v>
      </c>
      <c r="C20" s="17" t="s">
        <v>140</v>
      </c>
      <c r="D20" s="30" t="s">
        <v>29</v>
      </c>
      <c r="E20" s="36" t="s">
        <v>133</v>
      </c>
      <c r="F20" s="32" t="n">
        <v>75</v>
      </c>
    </row>
    <row r="21" customFormat="false" ht="23.25" hidden="false" customHeight="true" outlineLevel="0" collapsed="false">
      <c r="A21" s="29" t="n">
        <v>46188</v>
      </c>
      <c r="B21" s="30" t="s">
        <v>143</v>
      </c>
      <c r="C21" s="17" t="s">
        <v>144</v>
      </c>
      <c r="D21" s="30" t="s">
        <v>29</v>
      </c>
      <c r="E21" s="36" t="s">
        <v>133</v>
      </c>
      <c r="F21" s="32" t="n">
        <v>100</v>
      </c>
    </row>
    <row r="22" customFormat="false" ht="15" hidden="false" customHeight="true" outlineLevel="0" collapsed="false">
      <c r="A22" s="29" t="n">
        <v>46188</v>
      </c>
      <c r="B22" s="30" t="s">
        <v>143</v>
      </c>
      <c r="C22" s="17" t="s">
        <v>149</v>
      </c>
      <c r="D22" s="30" t="s">
        <v>31</v>
      </c>
      <c r="E22" s="33" t="s">
        <v>85</v>
      </c>
      <c r="F22" s="32" t="n">
        <v>27</v>
      </c>
    </row>
    <row r="23" customFormat="false" ht="15" hidden="false" customHeight="true" outlineLevel="0" collapsed="false">
      <c r="A23" s="29" t="n">
        <v>46192</v>
      </c>
      <c r="B23" s="30" t="s">
        <v>153</v>
      </c>
      <c r="C23" s="17" t="s">
        <v>154</v>
      </c>
      <c r="D23" s="30" t="s">
        <v>31</v>
      </c>
      <c r="E23" s="33" t="s">
        <v>85</v>
      </c>
      <c r="F23" s="32" t="n">
        <v>110</v>
      </c>
    </row>
    <row r="25" customFormat="false" ht="25.5" hidden="false" customHeight="true" outlineLevel="0" collapsed="false">
      <c r="A25" s="25" t="s">
        <v>382</v>
      </c>
      <c r="B25" s="26" t="s">
        <v>383</v>
      </c>
      <c r="C25" s="27"/>
      <c r="D25" s="27"/>
      <c r="E25" s="27"/>
      <c r="F25" s="27"/>
    </row>
    <row r="26" customFormat="false" ht="15" hidden="false" customHeight="true" outlineLevel="0" collapsed="false">
      <c r="A26" s="28" t="s">
        <v>59</v>
      </c>
      <c r="B26" s="28" t="s">
        <v>60</v>
      </c>
      <c r="C26" s="28" t="s">
        <v>374</v>
      </c>
      <c r="D26" s="28" t="s">
        <v>380</v>
      </c>
      <c r="E26" s="28" t="s">
        <v>70</v>
      </c>
      <c r="F26" s="28" t="s">
        <v>381</v>
      </c>
    </row>
    <row r="27" customFormat="false" ht="15" hidden="false" customHeight="true" outlineLevel="0" collapsed="false">
      <c r="A27" s="29" t="n">
        <v>46222</v>
      </c>
      <c r="B27" s="30" t="s">
        <v>128</v>
      </c>
      <c r="C27" s="17" t="s">
        <v>159</v>
      </c>
      <c r="D27" s="30" t="s">
        <v>41</v>
      </c>
      <c r="E27" s="36" t="s">
        <v>133</v>
      </c>
      <c r="F27" s="30" t="n">
        <v>0</v>
      </c>
    </row>
    <row r="28" customFormat="false" ht="15" hidden="false" customHeight="true" outlineLevel="0" collapsed="false">
      <c r="A28" s="29" t="n">
        <v>46223</v>
      </c>
      <c r="B28" s="30" t="s">
        <v>122</v>
      </c>
      <c r="C28" s="17" t="s">
        <v>163</v>
      </c>
      <c r="D28" s="30" t="s">
        <v>29</v>
      </c>
      <c r="E28" s="36" t="s">
        <v>133</v>
      </c>
      <c r="F28" s="32" t="n">
        <v>180</v>
      </c>
    </row>
    <row r="29" customFormat="false" ht="15" hidden="false" customHeight="true" outlineLevel="0" collapsed="false">
      <c r="A29" s="29" t="n">
        <v>46223</v>
      </c>
      <c r="B29" s="30" t="s">
        <v>122</v>
      </c>
      <c r="C29" s="17" t="s">
        <v>167</v>
      </c>
      <c r="D29" s="30" t="s">
        <v>31</v>
      </c>
      <c r="E29" s="31" t="s">
        <v>79</v>
      </c>
      <c r="F29" s="32" t="n">
        <v>140</v>
      </c>
    </row>
    <row r="30" customFormat="false" ht="15" hidden="false" customHeight="true" outlineLevel="0" collapsed="false">
      <c r="A30" s="29" t="n">
        <v>46223</v>
      </c>
      <c r="B30" s="30" t="s">
        <v>122</v>
      </c>
      <c r="C30" s="17" t="s">
        <v>170</v>
      </c>
      <c r="D30" s="30" t="s">
        <v>31</v>
      </c>
      <c r="E30" s="33" t="s">
        <v>85</v>
      </c>
      <c r="F30" s="32" t="n">
        <v>75</v>
      </c>
    </row>
    <row r="31" customFormat="false" ht="15" hidden="false" customHeight="true" outlineLevel="0" collapsed="false">
      <c r="A31" s="29" t="n">
        <v>46228</v>
      </c>
      <c r="B31" s="30" t="s">
        <v>73</v>
      </c>
      <c r="C31" s="17" t="s">
        <v>177</v>
      </c>
      <c r="D31" s="30" t="s">
        <v>29</v>
      </c>
      <c r="E31" s="31" t="s">
        <v>79</v>
      </c>
      <c r="F31" s="32" t="n">
        <v>160</v>
      </c>
    </row>
    <row r="32" customFormat="false" ht="15" hidden="false" customHeight="true" outlineLevel="0" collapsed="false">
      <c r="A32" s="29" t="n">
        <v>46228</v>
      </c>
      <c r="B32" s="30" t="s">
        <v>73</v>
      </c>
      <c r="C32" s="17" t="s">
        <v>174</v>
      </c>
      <c r="D32" s="30" t="s">
        <v>41</v>
      </c>
      <c r="E32" s="33" t="s">
        <v>85</v>
      </c>
      <c r="F32" s="30" t="n">
        <v>0</v>
      </c>
    </row>
    <row r="33" customFormat="false" ht="15" hidden="false" customHeight="true" outlineLevel="0" collapsed="false">
      <c r="A33" s="29" t="n">
        <v>46241</v>
      </c>
      <c r="B33" s="30" t="s">
        <v>153</v>
      </c>
      <c r="C33" s="17" t="s">
        <v>181</v>
      </c>
      <c r="D33" s="30" t="s">
        <v>41</v>
      </c>
      <c r="E33" s="33" t="s">
        <v>85</v>
      </c>
      <c r="F33" s="30" t="n">
        <v>0</v>
      </c>
    </row>
    <row r="34" customFormat="false" ht="15" hidden="false" customHeight="true" outlineLevel="0" collapsed="false">
      <c r="A34" s="29" t="n">
        <v>46242</v>
      </c>
      <c r="B34" s="30" t="s">
        <v>143</v>
      </c>
      <c r="C34" s="17" t="s">
        <v>184</v>
      </c>
      <c r="D34" s="30" t="s">
        <v>31</v>
      </c>
      <c r="E34" s="33" t="s">
        <v>85</v>
      </c>
      <c r="F34" s="32" t="n">
        <v>50</v>
      </c>
    </row>
    <row r="35" customFormat="false" ht="15" hidden="false" customHeight="true" outlineLevel="0" collapsed="false">
      <c r="A35" s="29" t="n">
        <v>46249</v>
      </c>
      <c r="B35" s="30" t="s">
        <v>73</v>
      </c>
      <c r="C35" s="17" t="s">
        <v>187</v>
      </c>
      <c r="D35" s="30" t="s">
        <v>33</v>
      </c>
      <c r="E35" s="33" t="s">
        <v>85</v>
      </c>
      <c r="F35" s="32" t="n">
        <v>120</v>
      </c>
    </row>
    <row r="36" customFormat="false" ht="15" hidden="false" customHeight="true" outlineLevel="0" collapsed="false">
      <c r="A36" s="29" t="n">
        <v>46254</v>
      </c>
      <c r="B36" s="30" t="s">
        <v>111</v>
      </c>
      <c r="C36" s="17" t="s">
        <v>191</v>
      </c>
      <c r="D36" s="30" t="s">
        <v>29</v>
      </c>
      <c r="E36" s="31" t="s">
        <v>79</v>
      </c>
      <c r="F36" s="32" t="n">
        <v>120</v>
      </c>
    </row>
    <row r="37" customFormat="false" ht="15" hidden="false" customHeight="true" outlineLevel="0" collapsed="false">
      <c r="A37" s="29" t="n">
        <v>46270</v>
      </c>
      <c r="B37" s="30" t="s">
        <v>101</v>
      </c>
      <c r="C37" s="17" t="s">
        <v>195</v>
      </c>
      <c r="D37" s="30" t="s">
        <v>31</v>
      </c>
      <c r="E37" s="33" t="s">
        <v>85</v>
      </c>
      <c r="F37" s="32" t="n">
        <v>140</v>
      </c>
    </row>
    <row r="38" customFormat="false" ht="15" hidden="false" customHeight="true" outlineLevel="0" collapsed="false">
      <c r="A38" s="29" t="n">
        <v>46275</v>
      </c>
      <c r="B38" s="30" t="s">
        <v>128</v>
      </c>
      <c r="C38" s="17" t="s">
        <v>198</v>
      </c>
      <c r="D38" s="30" t="s">
        <v>41</v>
      </c>
      <c r="E38" s="34" t="s">
        <v>90</v>
      </c>
      <c r="F38" s="30" t="n">
        <v>0</v>
      </c>
    </row>
    <row r="39" customFormat="false" ht="15" hidden="false" customHeight="true" outlineLevel="0" collapsed="false">
      <c r="A39" s="29" t="n">
        <v>46280</v>
      </c>
      <c r="B39" s="30" t="s">
        <v>203</v>
      </c>
      <c r="C39" s="17" t="s">
        <v>204</v>
      </c>
      <c r="D39" s="30" t="s">
        <v>29</v>
      </c>
      <c r="E39" s="36" t="s">
        <v>133</v>
      </c>
      <c r="F39" s="32" t="n">
        <v>180</v>
      </c>
    </row>
    <row r="40" customFormat="false" ht="15" hidden="false" customHeight="true" outlineLevel="0" collapsed="false">
      <c r="A40" s="29" t="n">
        <v>46280</v>
      </c>
      <c r="B40" s="30" t="s">
        <v>203</v>
      </c>
      <c r="C40" s="17" t="s">
        <v>207</v>
      </c>
      <c r="D40" s="30" t="s">
        <v>41</v>
      </c>
      <c r="E40" s="31" t="s">
        <v>79</v>
      </c>
      <c r="F40" s="30" t="n">
        <v>0</v>
      </c>
    </row>
    <row r="42" customFormat="false" ht="25.5" hidden="false" customHeight="true" outlineLevel="0" collapsed="false">
      <c r="A42" s="25" t="s">
        <v>384</v>
      </c>
      <c r="B42" s="26" t="s">
        <v>385</v>
      </c>
      <c r="C42" s="27"/>
      <c r="D42" s="27"/>
      <c r="E42" s="27"/>
      <c r="F42" s="27"/>
    </row>
    <row r="43" customFormat="false" ht="15" hidden="false" customHeight="true" outlineLevel="0" collapsed="false">
      <c r="A43" s="28" t="s">
        <v>59</v>
      </c>
      <c r="B43" s="28" t="s">
        <v>60</v>
      </c>
      <c r="C43" s="28" t="s">
        <v>374</v>
      </c>
      <c r="D43" s="28" t="s">
        <v>380</v>
      </c>
      <c r="E43" s="28" t="s">
        <v>70</v>
      </c>
      <c r="F43" s="28" t="s">
        <v>381</v>
      </c>
    </row>
    <row r="44" customFormat="false" ht="23.25" hidden="false" customHeight="true" outlineLevel="0" collapsed="false">
      <c r="A44" s="29" t="n">
        <v>46310</v>
      </c>
      <c r="B44" s="30" t="s">
        <v>143</v>
      </c>
      <c r="C44" s="17" t="s">
        <v>211</v>
      </c>
      <c r="D44" s="30" t="s">
        <v>29</v>
      </c>
      <c r="E44" s="36" t="s">
        <v>133</v>
      </c>
      <c r="F44" s="32" t="n">
        <v>120</v>
      </c>
    </row>
    <row r="45" customFormat="false" ht="15" hidden="false" customHeight="true" outlineLevel="0" collapsed="false">
      <c r="A45" s="29" t="n">
        <v>46317</v>
      </c>
      <c r="B45" s="30" t="s">
        <v>153</v>
      </c>
      <c r="C45" s="17" t="s">
        <v>215</v>
      </c>
      <c r="D45" s="30" t="s">
        <v>31</v>
      </c>
      <c r="E45" s="31" t="s">
        <v>79</v>
      </c>
      <c r="F45" s="32" t="n">
        <v>110</v>
      </c>
    </row>
    <row r="46" customFormat="false" ht="15" hidden="false" customHeight="true" outlineLevel="0" collapsed="false">
      <c r="A46" s="29" t="n">
        <v>46327</v>
      </c>
      <c r="B46" s="30" t="s">
        <v>73</v>
      </c>
      <c r="C46" s="17" t="s">
        <v>221</v>
      </c>
      <c r="D46" s="30" t="s">
        <v>29</v>
      </c>
      <c r="E46" s="36" t="s">
        <v>133</v>
      </c>
      <c r="F46" s="32" t="n">
        <v>75</v>
      </c>
    </row>
    <row r="47" customFormat="false" ht="15" hidden="false" customHeight="true" outlineLevel="0" collapsed="false">
      <c r="A47" s="29" t="n">
        <v>46327</v>
      </c>
      <c r="B47" s="30" t="s">
        <v>73</v>
      </c>
      <c r="C47" s="17" t="s">
        <v>218</v>
      </c>
      <c r="D47" s="30" t="s">
        <v>29</v>
      </c>
      <c r="E47" s="31" t="s">
        <v>79</v>
      </c>
      <c r="F47" s="32" t="n">
        <v>75</v>
      </c>
    </row>
    <row r="48" customFormat="false" ht="15" hidden="false" customHeight="true" outlineLevel="0" collapsed="false">
      <c r="A48" s="29" t="n">
        <v>46333</v>
      </c>
      <c r="B48" s="30" t="s">
        <v>143</v>
      </c>
      <c r="C48" s="17" t="s">
        <v>224</v>
      </c>
      <c r="D48" s="30" t="s">
        <v>31</v>
      </c>
      <c r="E48" s="33" t="s">
        <v>85</v>
      </c>
      <c r="F48" s="32" t="n">
        <v>50</v>
      </c>
    </row>
    <row r="49" customFormat="false" ht="15" hidden="false" customHeight="true" outlineLevel="0" collapsed="false">
      <c r="A49" s="29" t="n">
        <v>46336</v>
      </c>
      <c r="B49" s="30" t="s">
        <v>111</v>
      </c>
      <c r="C49" s="17" t="s">
        <v>227</v>
      </c>
      <c r="D49" s="30" t="s">
        <v>29</v>
      </c>
      <c r="E49" s="31" t="s">
        <v>79</v>
      </c>
      <c r="F49" s="32" t="n">
        <v>120</v>
      </c>
    </row>
    <row r="50" customFormat="false" ht="15" hidden="false" customHeight="true" outlineLevel="0" collapsed="false">
      <c r="A50" s="29" t="n">
        <v>46347</v>
      </c>
      <c r="B50" s="30" t="s">
        <v>153</v>
      </c>
      <c r="C50" s="17" t="s">
        <v>230</v>
      </c>
      <c r="D50" s="30" t="s">
        <v>41</v>
      </c>
      <c r="E50" s="33" t="s">
        <v>85</v>
      </c>
      <c r="F50" s="30" t="n">
        <v>0</v>
      </c>
    </row>
    <row r="51" customFormat="false" ht="15" hidden="false" customHeight="true" outlineLevel="0" collapsed="false">
      <c r="A51" s="29" t="n">
        <v>46361</v>
      </c>
      <c r="B51" s="30" t="s">
        <v>233</v>
      </c>
      <c r="C51" s="17" t="s">
        <v>234</v>
      </c>
      <c r="D51" s="30" t="s">
        <v>29</v>
      </c>
      <c r="E51" s="36" t="s">
        <v>133</v>
      </c>
      <c r="F51" s="32" t="n">
        <v>180</v>
      </c>
    </row>
    <row r="52" customFormat="false" ht="15" hidden="false" customHeight="true" outlineLevel="0" collapsed="false">
      <c r="A52" s="29" t="n">
        <v>46366</v>
      </c>
      <c r="B52" s="30" t="s">
        <v>233</v>
      </c>
      <c r="C52" s="17" t="s">
        <v>237</v>
      </c>
      <c r="D52" s="30" t="s">
        <v>41</v>
      </c>
      <c r="E52" s="31" t="s">
        <v>79</v>
      </c>
      <c r="F52" s="30" t="n">
        <v>0</v>
      </c>
    </row>
    <row r="54" customFormat="false" ht="25.5" hidden="false" customHeight="true" outlineLevel="0" collapsed="false">
      <c r="A54" s="25" t="s">
        <v>386</v>
      </c>
      <c r="B54" s="26" t="s">
        <v>387</v>
      </c>
      <c r="C54" s="27"/>
      <c r="D54" s="27"/>
      <c r="E54" s="27"/>
      <c r="F54" s="27"/>
    </row>
    <row r="55" customFormat="false" ht="15" hidden="false" customHeight="true" outlineLevel="0" collapsed="false">
      <c r="A55" s="28" t="s">
        <v>59</v>
      </c>
      <c r="B55" s="28" t="s">
        <v>60</v>
      </c>
      <c r="C55" s="28" t="s">
        <v>374</v>
      </c>
      <c r="D55" s="28" t="s">
        <v>380</v>
      </c>
      <c r="E55" s="28" t="s">
        <v>70</v>
      </c>
      <c r="F55" s="28" t="s">
        <v>381</v>
      </c>
    </row>
    <row r="56" customFormat="false" ht="15" hidden="false" customHeight="true" outlineLevel="0" collapsed="false">
      <c r="A56" s="29" t="n">
        <v>46402</v>
      </c>
      <c r="B56" s="30" t="s">
        <v>143</v>
      </c>
      <c r="C56" s="17" t="s">
        <v>240</v>
      </c>
      <c r="D56" s="30" t="s">
        <v>29</v>
      </c>
      <c r="E56" s="36" t="s">
        <v>133</v>
      </c>
      <c r="F56" s="32" t="n">
        <v>165</v>
      </c>
    </row>
    <row r="57" customFormat="false" ht="15" hidden="false" customHeight="true" outlineLevel="0" collapsed="false">
      <c r="A57" s="29" t="n">
        <v>46414</v>
      </c>
      <c r="B57" s="30" t="s">
        <v>153</v>
      </c>
      <c r="C57" s="17" t="s">
        <v>245</v>
      </c>
      <c r="D57" s="30" t="s">
        <v>31</v>
      </c>
      <c r="E57" s="33" t="s">
        <v>85</v>
      </c>
      <c r="F57" s="32" t="n">
        <v>110</v>
      </c>
    </row>
    <row r="58" customFormat="false" ht="15" hidden="false" customHeight="true" outlineLevel="0" collapsed="false">
      <c r="A58" s="29" t="n">
        <v>46425</v>
      </c>
      <c r="B58" s="30" t="s">
        <v>233</v>
      </c>
      <c r="C58" s="17" t="s">
        <v>248</v>
      </c>
      <c r="D58" s="30" t="s">
        <v>41</v>
      </c>
      <c r="E58" s="34" t="s">
        <v>90</v>
      </c>
      <c r="F58" s="30" t="n">
        <v>0</v>
      </c>
    </row>
    <row r="59" customFormat="false" ht="15" hidden="false" customHeight="true" outlineLevel="0" collapsed="false">
      <c r="A59" s="29" t="n">
        <v>46433</v>
      </c>
      <c r="B59" s="30" t="s">
        <v>73</v>
      </c>
      <c r="C59" s="17" t="s">
        <v>253</v>
      </c>
      <c r="D59" s="30" t="s">
        <v>33</v>
      </c>
      <c r="E59" s="34" t="s">
        <v>90</v>
      </c>
      <c r="F59" s="30" t="n">
        <v>0</v>
      </c>
    </row>
    <row r="60" customFormat="false" ht="15" hidden="false" customHeight="true" outlineLevel="0" collapsed="false">
      <c r="A60" s="29" t="n">
        <v>46460</v>
      </c>
      <c r="B60" s="30" t="s">
        <v>153</v>
      </c>
      <c r="C60" s="17" t="s">
        <v>256</v>
      </c>
      <c r="D60" s="30" t="s">
        <v>31</v>
      </c>
      <c r="E60" s="33" t="s">
        <v>85</v>
      </c>
      <c r="F60" s="32" t="n">
        <v>120</v>
      </c>
    </row>
    <row r="61" customFormat="false" ht="15" hidden="false" customHeight="true" outlineLevel="0" collapsed="false">
      <c r="A61" s="29" t="n">
        <v>46471</v>
      </c>
      <c r="B61" s="30" t="s">
        <v>101</v>
      </c>
      <c r="C61" s="17" t="s">
        <v>259</v>
      </c>
      <c r="D61" s="30" t="s">
        <v>31</v>
      </c>
      <c r="E61" s="33" t="s">
        <v>85</v>
      </c>
      <c r="F61" s="32" t="n">
        <v>145</v>
      </c>
    </row>
    <row r="63" customFormat="false" ht="25.5" hidden="false" customHeight="true" outlineLevel="0" collapsed="false">
      <c r="A63" s="25" t="s">
        <v>388</v>
      </c>
      <c r="B63" s="26" t="s">
        <v>389</v>
      </c>
      <c r="C63" s="27"/>
      <c r="D63" s="27"/>
      <c r="E63" s="27"/>
      <c r="F63" s="27"/>
    </row>
    <row r="64" customFormat="false" ht="15" hidden="false" customHeight="true" outlineLevel="0" collapsed="false">
      <c r="A64" s="28" t="s">
        <v>59</v>
      </c>
      <c r="B64" s="28" t="s">
        <v>60</v>
      </c>
      <c r="C64" s="28" t="s">
        <v>374</v>
      </c>
      <c r="D64" s="28" t="s">
        <v>380</v>
      </c>
      <c r="E64" s="28" t="s">
        <v>70</v>
      </c>
      <c r="F64" s="28" t="s">
        <v>381</v>
      </c>
    </row>
    <row r="65" customFormat="false" ht="15" hidden="false" customHeight="true" outlineLevel="0" collapsed="false">
      <c r="A65" s="29" t="n">
        <v>46492</v>
      </c>
      <c r="B65" s="30" t="s">
        <v>128</v>
      </c>
      <c r="C65" s="17" t="s">
        <v>262</v>
      </c>
      <c r="D65" s="30" t="s">
        <v>41</v>
      </c>
      <c r="E65" s="34" t="s">
        <v>90</v>
      </c>
      <c r="F65" s="30" t="n">
        <v>0</v>
      </c>
    </row>
    <row r="66" customFormat="false" ht="15" hidden="false" customHeight="true" outlineLevel="0" collapsed="false">
      <c r="A66" s="29" t="n">
        <v>46497</v>
      </c>
      <c r="B66" s="30" t="s">
        <v>73</v>
      </c>
      <c r="C66" s="17" t="s">
        <v>267</v>
      </c>
      <c r="D66" s="30" t="s">
        <v>41</v>
      </c>
      <c r="E66" s="34" t="s">
        <v>90</v>
      </c>
      <c r="F66" s="30" t="n">
        <v>0</v>
      </c>
    </row>
    <row r="67" customFormat="false" ht="15" hidden="false" customHeight="true" outlineLevel="0" collapsed="false">
      <c r="A67" s="29" t="n">
        <v>46522</v>
      </c>
      <c r="B67" s="30" t="s">
        <v>143</v>
      </c>
      <c r="C67" s="17" t="s">
        <v>270</v>
      </c>
      <c r="D67" s="30" t="s">
        <v>31</v>
      </c>
      <c r="E67" s="31" t="s">
        <v>79</v>
      </c>
      <c r="F67" s="32" t="n">
        <v>55</v>
      </c>
    </row>
    <row r="68" customFormat="false" ht="15" hidden="false" customHeight="true" outlineLevel="0" collapsed="false">
      <c r="A68" s="29" t="n">
        <v>46539</v>
      </c>
      <c r="B68" s="30" t="s">
        <v>128</v>
      </c>
      <c r="C68" s="17" t="s">
        <v>273</v>
      </c>
      <c r="D68" s="30" t="s">
        <v>41</v>
      </c>
      <c r="E68" s="33" t="s">
        <v>85</v>
      </c>
      <c r="F68" s="30" t="n">
        <v>0</v>
      </c>
    </row>
    <row r="69" customFormat="false" ht="15" hidden="false" customHeight="true" outlineLevel="0" collapsed="false">
      <c r="A69" s="29" t="n">
        <v>46553</v>
      </c>
      <c r="B69" s="30" t="s">
        <v>73</v>
      </c>
      <c r="C69" s="17" t="s">
        <v>277</v>
      </c>
      <c r="D69" s="30" t="s">
        <v>29</v>
      </c>
      <c r="E69" s="36" t="s">
        <v>133</v>
      </c>
      <c r="F69" s="30" t="n">
        <v>0</v>
      </c>
    </row>
    <row r="71" customFormat="false" ht="25.5" hidden="false" customHeight="true" outlineLevel="0" collapsed="false">
      <c r="A71" s="25" t="s">
        <v>390</v>
      </c>
      <c r="B71" s="26" t="s">
        <v>391</v>
      </c>
      <c r="C71" s="27"/>
      <c r="D71" s="27"/>
      <c r="E71" s="27"/>
      <c r="F71" s="27"/>
    </row>
    <row r="72" customFormat="false" ht="15" hidden="false" customHeight="true" outlineLevel="0" collapsed="false">
      <c r="A72" s="28" t="s">
        <v>59</v>
      </c>
      <c r="B72" s="28" t="s">
        <v>60</v>
      </c>
      <c r="C72" s="28" t="s">
        <v>374</v>
      </c>
      <c r="D72" s="28" t="s">
        <v>380</v>
      </c>
      <c r="E72" s="28" t="s">
        <v>70</v>
      </c>
      <c r="F72" s="28" t="s">
        <v>381</v>
      </c>
    </row>
    <row r="73" customFormat="false" ht="15" hidden="false" customHeight="true" outlineLevel="0" collapsed="false">
      <c r="A73" s="29" t="n">
        <v>46569</v>
      </c>
      <c r="B73" s="30" t="s">
        <v>111</v>
      </c>
      <c r="C73" s="17" t="s">
        <v>280</v>
      </c>
      <c r="D73" s="30" t="s">
        <v>29</v>
      </c>
      <c r="E73" s="36" t="s">
        <v>133</v>
      </c>
      <c r="F73" s="32" t="n">
        <v>200</v>
      </c>
    </row>
    <row r="74" customFormat="false" ht="15" hidden="false" customHeight="true" outlineLevel="0" collapsed="false">
      <c r="A74" s="29" t="n">
        <v>46600</v>
      </c>
      <c r="B74" s="30" t="s">
        <v>128</v>
      </c>
      <c r="C74" s="17" t="s">
        <v>284</v>
      </c>
      <c r="D74" s="30" t="s">
        <v>41</v>
      </c>
      <c r="E74" s="31" t="s">
        <v>79</v>
      </c>
      <c r="F74" s="30" t="n">
        <v>0</v>
      </c>
    </row>
    <row r="75" customFormat="false" ht="15" hidden="false" customHeight="true" outlineLevel="0" collapsed="false">
      <c r="A75" s="29" t="n">
        <v>46614</v>
      </c>
      <c r="B75" s="30" t="s">
        <v>143</v>
      </c>
      <c r="C75" s="17" t="s">
        <v>289</v>
      </c>
      <c r="D75" s="30" t="s">
        <v>29</v>
      </c>
      <c r="E75" s="36" t="s">
        <v>133</v>
      </c>
      <c r="F75" s="32" t="n">
        <v>110</v>
      </c>
    </row>
    <row r="76" customFormat="false" ht="23.25" hidden="false" customHeight="true" outlineLevel="0" collapsed="false">
      <c r="A76" s="29" t="n">
        <v>46645</v>
      </c>
      <c r="B76" s="30" t="s">
        <v>143</v>
      </c>
      <c r="C76" s="17" t="s">
        <v>292</v>
      </c>
      <c r="D76" s="30" t="s">
        <v>29</v>
      </c>
      <c r="E76" s="36" t="s">
        <v>133</v>
      </c>
      <c r="F76" s="32" t="n">
        <v>165</v>
      </c>
    </row>
    <row r="78" customFormat="false" ht="25.5" hidden="false" customHeight="true" outlineLevel="0" collapsed="false">
      <c r="A78" s="25" t="s">
        <v>392</v>
      </c>
      <c r="B78" s="26" t="s">
        <v>393</v>
      </c>
      <c r="C78" s="27"/>
      <c r="D78" s="27"/>
      <c r="E78" s="27"/>
      <c r="F78" s="27"/>
    </row>
    <row r="79" customFormat="false" ht="15" hidden="false" customHeight="true" outlineLevel="0" collapsed="false">
      <c r="A79" s="28" t="s">
        <v>59</v>
      </c>
      <c r="B79" s="28" t="s">
        <v>60</v>
      </c>
      <c r="C79" s="28" t="s">
        <v>374</v>
      </c>
      <c r="D79" s="28" t="s">
        <v>380</v>
      </c>
      <c r="E79" s="28" t="s">
        <v>70</v>
      </c>
      <c r="F79" s="28" t="s">
        <v>381</v>
      </c>
    </row>
    <row r="80" customFormat="false" ht="15" hidden="false" customHeight="true" outlineLevel="0" collapsed="false">
      <c r="A80" s="29" t="n">
        <v>46675</v>
      </c>
      <c r="B80" s="30" t="s">
        <v>73</v>
      </c>
      <c r="C80" s="17" t="s">
        <v>295</v>
      </c>
      <c r="D80" s="30" t="s">
        <v>41</v>
      </c>
      <c r="E80" s="31" t="s">
        <v>79</v>
      </c>
      <c r="F80" s="32" t="n">
        <v>75</v>
      </c>
    </row>
    <row r="81" customFormat="false" ht="15" hidden="false" customHeight="true" outlineLevel="0" collapsed="false">
      <c r="A81" s="29" t="n">
        <v>46696</v>
      </c>
      <c r="B81" s="30" t="s">
        <v>153</v>
      </c>
      <c r="C81" s="17" t="s">
        <v>298</v>
      </c>
      <c r="D81" s="30" t="s">
        <v>41</v>
      </c>
      <c r="E81" s="33" t="s">
        <v>85</v>
      </c>
      <c r="F81" s="30" t="n">
        <v>0</v>
      </c>
    </row>
    <row r="82" customFormat="false" ht="15" hidden="false" customHeight="true" outlineLevel="0" collapsed="false">
      <c r="A82" s="29" t="n">
        <v>46722</v>
      </c>
      <c r="B82" s="30" t="s">
        <v>128</v>
      </c>
      <c r="C82" s="17" t="s">
        <v>301</v>
      </c>
      <c r="D82" s="30" t="s">
        <v>41</v>
      </c>
      <c r="E82" s="34" t="s">
        <v>90</v>
      </c>
      <c r="F82" s="30" t="n">
        <v>0</v>
      </c>
    </row>
    <row r="84" customFormat="false" ht="25.5" hidden="false" customHeight="true" outlineLevel="0" collapsed="false">
      <c r="A84" s="25" t="s">
        <v>394</v>
      </c>
      <c r="B84" s="26" t="s">
        <v>391</v>
      </c>
      <c r="C84" s="27"/>
      <c r="D84" s="27"/>
      <c r="E84" s="27"/>
      <c r="F84" s="27"/>
    </row>
    <row r="85" customFormat="false" ht="15" hidden="false" customHeight="true" outlineLevel="0" collapsed="false">
      <c r="A85" s="28" t="s">
        <v>59</v>
      </c>
      <c r="B85" s="28" t="s">
        <v>60</v>
      </c>
      <c r="C85" s="28" t="s">
        <v>374</v>
      </c>
      <c r="D85" s="28" t="s">
        <v>380</v>
      </c>
      <c r="E85" s="28" t="s">
        <v>70</v>
      </c>
      <c r="F85" s="28" t="s">
        <v>381</v>
      </c>
    </row>
    <row r="86" customFormat="false" ht="23.25" hidden="false" customHeight="true" outlineLevel="0" collapsed="false">
      <c r="A86" s="29" t="n">
        <v>46767</v>
      </c>
      <c r="B86" s="30" t="s">
        <v>143</v>
      </c>
      <c r="C86" s="17" t="s">
        <v>306</v>
      </c>
      <c r="D86" s="30" t="s">
        <v>29</v>
      </c>
      <c r="E86" s="36" t="s">
        <v>133</v>
      </c>
      <c r="F86" s="32" t="n">
        <v>165</v>
      </c>
    </row>
    <row r="87" customFormat="false" ht="15" hidden="false" customHeight="true" outlineLevel="0" collapsed="false">
      <c r="A87" s="29" t="n">
        <v>46772</v>
      </c>
      <c r="B87" s="30" t="s">
        <v>73</v>
      </c>
      <c r="C87" s="17" t="s">
        <v>309</v>
      </c>
      <c r="D87" s="30" t="s">
        <v>41</v>
      </c>
      <c r="E87" s="34" t="s">
        <v>90</v>
      </c>
      <c r="F87" s="30" t="n">
        <v>0</v>
      </c>
    </row>
    <row r="88" customFormat="false" ht="15" hidden="false" customHeight="true" outlineLevel="0" collapsed="false">
      <c r="A88" s="29" t="n">
        <v>46789</v>
      </c>
      <c r="B88" s="30" t="s">
        <v>233</v>
      </c>
      <c r="C88" s="17" t="s">
        <v>311</v>
      </c>
      <c r="D88" s="30" t="s">
        <v>41</v>
      </c>
      <c r="E88" s="34" t="s">
        <v>90</v>
      </c>
      <c r="F88" s="30" t="n">
        <v>0</v>
      </c>
    </row>
    <row r="89" customFormat="false" ht="15" hidden="false" customHeight="true" outlineLevel="0" collapsed="false">
      <c r="A89" s="29" t="n">
        <v>46822</v>
      </c>
      <c r="B89" s="30" t="s">
        <v>101</v>
      </c>
      <c r="C89" s="17" t="s">
        <v>314</v>
      </c>
      <c r="D89" s="30" t="s">
        <v>29</v>
      </c>
      <c r="E89" s="36" t="s">
        <v>133</v>
      </c>
      <c r="F89" s="32" t="n">
        <v>75</v>
      </c>
    </row>
    <row r="91" customFormat="false" ht="25.5" hidden="false" customHeight="true" outlineLevel="0" collapsed="false">
      <c r="A91" s="25" t="s">
        <v>395</v>
      </c>
      <c r="B91" s="26" t="s">
        <v>393</v>
      </c>
      <c r="C91" s="27"/>
      <c r="D91" s="27"/>
      <c r="E91" s="27"/>
      <c r="F91" s="27"/>
    </row>
    <row r="92" customFormat="false" ht="15" hidden="false" customHeight="true" outlineLevel="0" collapsed="false">
      <c r="A92" s="28" t="s">
        <v>59</v>
      </c>
      <c r="B92" s="28" t="s">
        <v>60</v>
      </c>
      <c r="C92" s="28" t="s">
        <v>374</v>
      </c>
      <c r="D92" s="28" t="s">
        <v>380</v>
      </c>
      <c r="E92" s="28" t="s">
        <v>70</v>
      </c>
      <c r="F92" s="28" t="s">
        <v>381</v>
      </c>
    </row>
    <row r="93" customFormat="false" ht="15" hidden="false" customHeight="true" outlineLevel="0" collapsed="false">
      <c r="A93" s="29" t="n">
        <v>46858</v>
      </c>
      <c r="B93" s="30" t="s">
        <v>153</v>
      </c>
      <c r="C93" s="17" t="s">
        <v>318</v>
      </c>
      <c r="D93" s="30" t="s">
        <v>31</v>
      </c>
      <c r="E93" s="33" t="s">
        <v>85</v>
      </c>
      <c r="F93" s="32" t="n">
        <v>110</v>
      </c>
    </row>
    <row r="94" customFormat="false" ht="15" hidden="false" customHeight="true" outlineLevel="0" collapsed="false">
      <c r="A94" s="29" t="n">
        <v>46905</v>
      </c>
      <c r="B94" s="30" t="s">
        <v>128</v>
      </c>
      <c r="C94" s="17" t="s">
        <v>321</v>
      </c>
      <c r="D94" s="30" t="s">
        <v>41</v>
      </c>
      <c r="E94" s="33" t="s">
        <v>85</v>
      </c>
      <c r="F94" s="30" t="n">
        <v>0</v>
      </c>
    </row>
    <row r="95" customFormat="false" ht="15" hidden="false" customHeight="true" outlineLevel="0" collapsed="false">
      <c r="A95" s="29" t="n">
        <v>46919</v>
      </c>
      <c r="B95" s="30" t="s">
        <v>143</v>
      </c>
      <c r="C95" s="17" t="s">
        <v>325</v>
      </c>
      <c r="D95" s="30" t="s">
        <v>31</v>
      </c>
      <c r="E95" s="31" t="s">
        <v>79</v>
      </c>
      <c r="F95" s="32" t="n">
        <v>110</v>
      </c>
    </row>
    <row r="97" customFormat="false" ht="25.5" hidden="false" customHeight="true" outlineLevel="0" collapsed="false">
      <c r="A97" s="25" t="s">
        <v>396</v>
      </c>
      <c r="B97" s="26" t="s">
        <v>391</v>
      </c>
      <c r="C97" s="27"/>
      <c r="D97" s="27"/>
      <c r="E97" s="27"/>
      <c r="F97" s="27"/>
    </row>
    <row r="98" customFormat="false" ht="15" hidden="false" customHeight="true" outlineLevel="0" collapsed="false">
      <c r="A98" s="28" t="s">
        <v>59</v>
      </c>
      <c r="B98" s="28" t="s">
        <v>60</v>
      </c>
      <c r="C98" s="28" t="s">
        <v>374</v>
      </c>
      <c r="D98" s="28" t="s">
        <v>380</v>
      </c>
      <c r="E98" s="28" t="s">
        <v>70</v>
      </c>
      <c r="F98" s="28" t="s">
        <v>381</v>
      </c>
    </row>
    <row r="99" customFormat="false" ht="15" hidden="false" customHeight="true" outlineLevel="0" collapsed="false">
      <c r="A99" s="29" t="n">
        <v>46948</v>
      </c>
      <c r="B99" s="30" t="s">
        <v>128</v>
      </c>
      <c r="C99" s="17" t="s">
        <v>328</v>
      </c>
      <c r="D99" s="30" t="s">
        <v>41</v>
      </c>
      <c r="E99" s="31" t="s">
        <v>79</v>
      </c>
      <c r="F99" s="30" t="n">
        <v>0</v>
      </c>
    </row>
    <row r="100" customFormat="false" ht="15" hidden="false" customHeight="true" outlineLevel="0" collapsed="false">
      <c r="A100" s="29" t="n">
        <v>46949</v>
      </c>
      <c r="B100" s="30" t="s">
        <v>122</v>
      </c>
      <c r="C100" s="17" t="s">
        <v>333</v>
      </c>
      <c r="D100" s="30" t="s">
        <v>41</v>
      </c>
      <c r="E100" s="33" t="s">
        <v>85</v>
      </c>
      <c r="F100" s="30" t="n">
        <v>0</v>
      </c>
    </row>
    <row r="101" customFormat="false" ht="23.25" hidden="false" customHeight="true" outlineLevel="0" collapsed="false">
      <c r="A101" s="29" t="n">
        <v>46980</v>
      </c>
      <c r="B101" s="30" t="s">
        <v>73</v>
      </c>
      <c r="C101" s="17" t="s">
        <v>337</v>
      </c>
      <c r="D101" s="30" t="s">
        <v>29</v>
      </c>
      <c r="E101" s="36" t="s">
        <v>133</v>
      </c>
      <c r="F101" s="32" t="n">
        <v>150</v>
      </c>
    </row>
    <row r="102" customFormat="false" ht="15" hidden="false" customHeight="true" outlineLevel="0" collapsed="false">
      <c r="A102" s="29" t="n">
        <v>47011</v>
      </c>
      <c r="B102" s="30" t="s">
        <v>203</v>
      </c>
      <c r="C102" s="17" t="s">
        <v>340</v>
      </c>
      <c r="D102" s="30" t="s">
        <v>29</v>
      </c>
      <c r="E102" s="36" t="s">
        <v>133</v>
      </c>
      <c r="F102" s="32" t="n">
        <v>180</v>
      </c>
    </row>
    <row r="104" customFormat="false" ht="25.5" hidden="false" customHeight="true" outlineLevel="0" collapsed="false">
      <c r="A104" s="25" t="s">
        <v>397</v>
      </c>
      <c r="B104" s="26" t="s">
        <v>393</v>
      </c>
      <c r="C104" s="27"/>
      <c r="D104" s="27"/>
      <c r="E104" s="27"/>
      <c r="F104" s="27"/>
    </row>
    <row r="105" customFormat="false" ht="15" hidden="false" customHeight="true" outlineLevel="0" collapsed="false">
      <c r="A105" s="28" t="s">
        <v>59</v>
      </c>
      <c r="B105" s="28" t="s">
        <v>60</v>
      </c>
      <c r="C105" s="28" t="s">
        <v>374</v>
      </c>
      <c r="D105" s="28" t="s">
        <v>380</v>
      </c>
      <c r="E105" s="28" t="s">
        <v>70</v>
      </c>
      <c r="F105" s="28" t="s">
        <v>381</v>
      </c>
    </row>
    <row r="106" customFormat="false" ht="15" hidden="false" customHeight="true" outlineLevel="0" collapsed="false">
      <c r="A106" s="29" t="n">
        <v>47041</v>
      </c>
      <c r="B106" s="30" t="s">
        <v>343</v>
      </c>
      <c r="C106" s="17" t="s">
        <v>344</v>
      </c>
      <c r="D106" s="30" t="s">
        <v>29</v>
      </c>
      <c r="E106" s="36" t="s">
        <v>133</v>
      </c>
      <c r="F106" s="32" t="n">
        <v>160</v>
      </c>
    </row>
    <row r="107" customFormat="false" ht="15" hidden="false" customHeight="true" outlineLevel="0" collapsed="false">
      <c r="A107" s="29" t="n">
        <v>47072</v>
      </c>
      <c r="B107" s="30" t="s">
        <v>111</v>
      </c>
      <c r="C107" s="17" t="s">
        <v>349</v>
      </c>
      <c r="D107" s="30" t="s">
        <v>31</v>
      </c>
      <c r="E107" s="33" t="s">
        <v>85</v>
      </c>
      <c r="F107" s="32" t="n">
        <v>130</v>
      </c>
    </row>
    <row r="108" customFormat="false" ht="15" hidden="false" customHeight="true" outlineLevel="0" collapsed="false">
      <c r="A108" s="29" t="n">
        <v>47088</v>
      </c>
      <c r="B108" s="30" t="s">
        <v>153</v>
      </c>
      <c r="C108" s="17" t="s">
        <v>352</v>
      </c>
      <c r="D108" s="30" t="s">
        <v>41</v>
      </c>
      <c r="E108" s="34" t="s">
        <v>90</v>
      </c>
      <c r="F108" s="30" t="n">
        <v>0</v>
      </c>
    </row>
    <row r="110" customFormat="false" ht="25.5" hidden="false" customHeight="true" outlineLevel="0" collapsed="false">
      <c r="A110" s="25" t="s">
        <v>398</v>
      </c>
      <c r="B110" s="26" t="s">
        <v>391</v>
      </c>
      <c r="C110" s="27"/>
      <c r="D110" s="27"/>
      <c r="E110" s="27"/>
      <c r="F110" s="27"/>
    </row>
    <row r="111" customFormat="false" ht="15" hidden="false" customHeight="true" outlineLevel="0" collapsed="false">
      <c r="A111" s="28" t="s">
        <v>59</v>
      </c>
      <c r="B111" s="28" t="s">
        <v>60</v>
      </c>
      <c r="C111" s="28" t="s">
        <v>374</v>
      </c>
      <c r="D111" s="28" t="s">
        <v>380</v>
      </c>
      <c r="E111" s="28" t="s">
        <v>70</v>
      </c>
      <c r="F111" s="28" t="s">
        <v>381</v>
      </c>
    </row>
    <row r="112" customFormat="false" ht="15" hidden="false" customHeight="true" outlineLevel="0" collapsed="false">
      <c r="A112" s="29" t="n">
        <v>47133</v>
      </c>
      <c r="B112" s="30" t="s">
        <v>343</v>
      </c>
      <c r="C112" s="17" t="s">
        <v>356</v>
      </c>
      <c r="D112" s="30" t="s">
        <v>29</v>
      </c>
      <c r="E112" s="36" t="s">
        <v>133</v>
      </c>
      <c r="F112" s="32" t="n">
        <v>200</v>
      </c>
    </row>
    <row r="113" customFormat="false" ht="15" hidden="false" customHeight="true" outlineLevel="0" collapsed="false">
      <c r="A113" s="29" t="n">
        <v>47153</v>
      </c>
      <c r="B113" s="30" t="s">
        <v>233</v>
      </c>
      <c r="C113" s="17" t="s">
        <v>360</v>
      </c>
      <c r="D113" s="30" t="s">
        <v>41</v>
      </c>
      <c r="E113" s="34" t="s">
        <v>90</v>
      </c>
      <c r="F113" s="30" t="n">
        <v>0</v>
      </c>
    </row>
    <row r="114" customFormat="false" ht="15" hidden="false" customHeight="true" outlineLevel="0" collapsed="false">
      <c r="A114" s="29" t="n">
        <v>47164</v>
      </c>
      <c r="B114" s="30" t="s">
        <v>143</v>
      </c>
      <c r="C114" s="17" t="s">
        <v>363</v>
      </c>
      <c r="D114" s="30" t="s">
        <v>31</v>
      </c>
      <c r="E114" s="33" t="s">
        <v>85</v>
      </c>
      <c r="F114" s="32" t="n">
        <v>55</v>
      </c>
    </row>
    <row r="115" customFormat="false" ht="15" hidden="false" customHeight="true" outlineLevel="0" collapsed="false">
      <c r="A115" s="29" t="n">
        <v>47197</v>
      </c>
      <c r="B115" s="30" t="s">
        <v>73</v>
      </c>
      <c r="C115" s="17" t="s">
        <v>367</v>
      </c>
      <c r="D115" s="30" t="s">
        <v>41</v>
      </c>
      <c r="E115" s="33" t="s">
        <v>85</v>
      </c>
      <c r="F115" s="32" t="n">
        <v>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400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46188</v>
      </c>
      <c r="B5" s="11" t="s">
        <v>144</v>
      </c>
      <c r="C5" s="19" t="s">
        <v>146</v>
      </c>
      <c r="D5" s="20" t="n">
        <v>50</v>
      </c>
      <c r="E5" s="11" t="s">
        <v>147</v>
      </c>
      <c r="F5" s="19" t="s">
        <v>29</v>
      </c>
      <c r="G5" s="19" t="s">
        <v>403</v>
      </c>
      <c r="H5" s="19" t="s">
        <v>133</v>
      </c>
      <c r="I5" s="20" t="n">
        <v>100</v>
      </c>
      <c r="J5" s="19" t="s">
        <v>138</v>
      </c>
      <c r="K5" s="11" t="s">
        <v>148</v>
      </c>
    </row>
    <row r="6" customFormat="false" ht="23.25" hidden="false" customHeight="true" outlineLevel="0" collapsed="false">
      <c r="A6" s="18" t="n">
        <v>46188</v>
      </c>
      <c r="B6" s="11" t="s">
        <v>149</v>
      </c>
      <c r="C6" s="19" t="s">
        <v>150</v>
      </c>
      <c r="D6" s="20" t="n">
        <v>27</v>
      </c>
      <c r="E6" s="11" t="s">
        <v>151</v>
      </c>
      <c r="F6" s="19" t="s">
        <v>31</v>
      </c>
      <c r="G6" s="19" t="s">
        <v>404</v>
      </c>
      <c r="H6" s="19" t="s">
        <v>85</v>
      </c>
      <c r="I6" s="20" t="n">
        <v>27</v>
      </c>
      <c r="J6" s="19" t="s">
        <v>78</v>
      </c>
      <c r="K6" s="11" t="s">
        <v>152</v>
      </c>
    </row>
    <row r="7" customFormat="false" ht="23.25" hidden="false" customHeight="true" outlineLevel="0" collapsed="false">
      <c r="A7" s="18" t="n">
        <v>46242</v>
      </c>
      <c r="B7" s="11" t="s">
        <v>184</v>
      </c>
      <c r="C7" s="19" t="s">
        <v>146</v>
      </c>
      <c r="D7" s="20" t="n">
        <v>50</v>
      </c>
      <c r="E7" s="11" t="s">
        <v>185</v>
      </c>
      <c r="F7" s="19" t="s">
        <v>31</v>
      </c>
      <c r="G7" s="19" t="s">
        <v>405</v>
      </c>
      <c r="H7" s="19" t="s">
        <v>85</v>
      </c>
      <c r="I7" s="20" t="n">
        <v>50</v>
      </c>
      <c r="J7" s="19" t="s">
        <v>78</v>
      </c>
      <c r="K7" s="11" t="s">
        <v>186</v>
      </c>
    </row>
    <row r="8" customFormat="false" ht="34.5" hidden="false" customHeight="true" outlineLevel="0" collapsed="false">
      <c r="A8" s="18" t="n">
        <v>46310</v>
      </c>
      <c r="B8" s="11" t="s">
        <v>211</v>
      </c>
      <c r="C8" s="19" t="s">
        <v>212</v>
      </c>
      <c r="D8" s="20" t="n">
        <v>60</v>
      </c>
      <c r="E8" s="11" t="s">
        <v>213</v>
      </c>
      <c r="F8" s="19" t="s">
        <v>29</v>
      </c>
      <c r="G8" s="19" t="s">
        <v>406</v>
      </c>
      <c r="H8" s="19" t="s">
        <v>133</v>
      </c>
      <c r="I8" s="20" t="n">
        <v>120</v>
      </c>
      <c r="J8" s="19" t="s">
        <v>138</v>
      </c>
      <c r="K8" s="11" t="s">
        <v>214</v>
      </c>
    </row>
    <row r="9" customFormat="false" ht="23.25" hidden="false" customHeight="true" outlineLevel="0" collapsed="false">
      <c r="A9" s="18" t="n">
        <v>46333</v>
      </c>
      <c r="B9" s="11" t="s">
        <v>224</v>
      </c>
      <c r="C9" s="19" t="s">
        <v>146</v>
      </c>
      <c r="D9" s="20" t="n">
        <v>50</v>
      </c>
      <c r="E9" s="11" t="s">
        <v>225</v>
      </c>
      <c r="F9" s="19" t="s">
        <v>31</v>
      </c>
      <c r="G9" s="19" t="s">
        <v>407</v>
      </c>
      <c r="H9" s="19" t="s">
        <v>85</v>
      </c>
      <c r="I9" s="20" t="n">
        <v>50</v>
      </c>
      <c r="J9" s="19" t="s">
        <v>78</v>
      </c>
      <c r="K9" s="11" t="s">
        <v>226</v>
      </c>
    </row>
    <row r="10" customFormat="false" ht="34.5" hidden="false" customHeight="true" outlineLevel="0" collapsed="false">
      <c r="A10" s="18" t="n">
        <v>46402</v>
      </c>
      <c r="B10" s="11" t="s">
        <v>240</v>
      </c>
      <c r="C10" s="19" t="s">
        <v>241</v>
      </c>
      <c r="D10" s="20" t="n">
        <v>55</v>
      </c>
      <c r="E10" s="11" t="s">
        <v>242</v>
      </c>
      <c r="F10" s="19" t="s">
        <v>29</v>
      </c>
      <c r="G10" s="19" t="s">
        <v>408</v>
      </c>
      <c r="H10" s="19" t="s">
        <v>133</v>
      </c>
      <c r="I10" s="20" t="n">
        <v>165</v>
      </c>
      <c r="J10" s="19" t="s">
        <v>243</v>
      </c>
      <c r="K10" s="11" t="s">
        <v>244</v>
      </c>
    </row>
    <row r="11" customFormat="false" ht="23.25" hidden="false" customHeight="true" outlineLevel="0" collapsed="false">
      <c r="A11" s="18" t="n">
        <v>46522</v>
      </c>
      <c r="B11" s="11" t="s">
        <v>270</v>
      </c>
      <c r="C11" s="19" t="s">
        <v>146</v>
      </c>
      <c r="D11" s="20" t="n">
        <v>55</v>
      </c>
      <c r="E11" s="11" t="s">
        <v>271</v>
      </c>
      <c r="F11" s="19" t="s">
        <v>31</v>
      </c>
      <c r="G11" s="19" t="s">
        <v>409</v>
      </c>
      <c r="H11" s="19" t="s">
        <v>79</v>
      </c>
      <c r="I11" s="20" t="n">
        <v>55</v>
      </c>
      <c r="J11" s="19" t="s">
        <v>78</v>
      </c>
      <c r="K11" s="11" t="s">
        <v>272</v>
      </c>
    </row>
    <row r="12" customFormat="false" ht="34.5" hidden="false" customHeight="true" outlineLevel="0" collapsed="false">
      <c r="A12" s="18" t="n">
        <v>46614</v>
      </c>
      <c r="B12" s="11" t="s">
        <v>289</v>
      </c>
      <c r="C12" s="19" t="s">
        <v>146</v>
      </c>
      <c r="D12" s="20" t="n">
        <v>55</v>
      </c>
      <c r="E12" s="11" t="s">
        <v>290</v>
      </c>
      <c r="F12" s="19" t="s">
        <v>29</v>
      </c>
      <c r="G12" s="19" t="s">
        <v>410</v>
      </c>
      <c r="H12" s="19" t="s">
        <v>133</v>
      </c>
      <c r="I12" s="20" t="n">
        <v>110</v>
      </c>
      <c r="J12" s="19" t="s">
        <v>138</v>
      </c>
      <c r="K12" s="11" t="s">
        <v>291</v>
      </c>
    </row>
    <row r="13" customFormat="false" ht="23.25" hidden="false" customHeight="true" outlineLevel="0" collapsed="false">
      <c r="A13" s="18" t="n">
        <v>46645</v>
      </c>
      <c r="B13" s="11" t="s">
        <v>292</v>
      </c>
      <c r="C13" s="19" t="s">
        <v>146</v>
      </c>
      <c r="D13" s="20" t="n">
        <v>55</v>
      </c>
      <c r="E13" s="11" t="s">
        <v>293</v>
      </c>
      <c r="F13" s="19" t="s">
        <v>29</v>
      </c>
      <c r="G13" s="19" t="s">
        <v>411</v>
      </c>
      <c r="H13" s="19" t="s">
        <v>133</v>
      </c>
      <c r="I13" s="20" t="n">
        <v>165</v>
      </c>
      <c r="J13" s="19" t="s">
        <v>243</v>
      </c>
      <c r="K13" s="11" t="s">
        <v>294</v>
      </c>
    </row>
    <row r="14" customFormat="false" ht="23.25" hidden="false" customHeight="true" outlineLevel="0" collapsed="false">
      <c r="A14" s="18" t="n">
        <v>46767</v>
      </c>
      <c r="B14" s="11" t="s">
        <v>306</v>
      </c>
      <c r="C14" s="19" t="s">
        <v>241</v>
      </c>
      <c r="D14" s="20" t="n">
        <v>55</v>
      </c>
      <c r="E14" s="11" t="s">
        <v>307</v>
      </c>
      <c r="F14" s="19" t="s">
        <v>29</v>
      </c>
      <c r="G14" s="19" t="s">
        <v>412</v>
      </c>
      <c r="H14" s="19" t="s">
        <v>133</v>
      </c>
      <c r="I14" s="20" t="n">
        <v>165</v>
      </c>
      <c r="J14" s="19" t="s">
        <v>243</v>
      </c>
      <c r="K14" s="11" t="s">
        <v>308</v>
      </c>
    </row>
    <row r="15" customFormat="false" ht="23.25" hidden="false" customHeight="true" outlineLevel="0" collapsed="false">
      <c r="A15" s="18" t="n">
        <v>46919</v>
      </c>
      <c r="B15" s="11" t="s">
        <v>325</v>
      </c>
      <c r="C15" s="19" t="s">
        <v>146</v>
      </c>
      <c r="D15" s="20" t="n">
        <v>55</v>
      </c>
      <c r="E15" s="11" t="s">
        <v>326</v>
      </c>
      <c r="F15" s="19" t="s">
        <v>31</v>
      </c>
      <c r="G15" s="19" t="s">
        <v>413</v>
      </c>
      <c r="H15" s="19" t="s">
        <v>79</v>
      </c>
      <c r="I15" s="20" t="n">
        <v>110</v>
      </c>
      <c r="J15" s="19" t="s">
        <v>138</v>
      </c>
      <c r="K15" s="11" t="s">
        <v>327</v>
      </c>
    </row>
    <row r="16" customFormat="false" ht="23.25" hidden="false" customHeight="true" outlineLevel="0" collapsed="false">
      <c r="A16" s="18" t="n">
        <v>47164</v>
      </c>
      <c r="B16" s="11" t="s">
        <v>363</v>
      </c>
      <c r="C16" s="19" t="s">
        <v>364</v>
      </c>
      <c r="D16" s="20" t="n">
        <v>55</v>
      </c>
      <c r="E16" s="11" t="s">
        <v>365</v>
      </c>
      <c r="F16" s="19" t="s">
        <v>31</v>
      </c>
      <c r="G16" s="19" t="s">
        <v>414</v>
      </c>
      <c r="H16" s="19" t="s">
        <v>85</v>
      </c>
      <c r="I16" s="20" t="n">
        <v>55</v>
      </c>
      <c r="J16" s="19" t="s">
        <v>78</v>
      </c>
      <c r="K16" s="11" t="s">
        <v>366</v>
      </c>
    </row>
    <row r="18" customFormat="false" ht="15" hidden="false" customHeight="true" outlineLevel="0" collapsed="false">
      <c r="A18" s="37" t="s">
        <v>415</v>
      </c>
      <c r="D18" s="38" t="n">
        <f aca="false">SUM(D5:D16)</f>
        <v>622</v>
      </c>
      <c r="I18" s="38" t="n">
        <f aca="false">SUM(I5:I16)</f>
        <v>1172</v>
      </c>
    </row>
  </sheetData>
  <autoFilter ref="A4:K16"/>
  <mergeCells count="2">
    <mergeCell ref="A1:K1"/>
    <mergeCell ref="A2:K2"/>
  </mergeCells>
  <conditionalFormatting sqref="H5:H16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417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46129</v>
      </c>
      <c r="B5" s="11" t="s">
        <v>74</v>
      </c>
      <c r="C5" s="19" t="s">
        <v>76</v>
      </c>
      <c r="D5" s="20" t="n">
        <v>30</v>
      </c>
      <c r="E5" s="11" t="s">
        <v>77</v>
      </c>
      <c r="F5" s="19" t="s">
        <v>31</v>
      </c>
      <c r="G5" s="19" t="s">
        <v>418</v>
      </c>
      <c r="H5" s="19" t="s">
        <v>79</v>
      </c>
      <c r="I5" s="20" t="n">
        <v>30</v>
      </c>
      <c r="J5" s="19" t="s">
        <v>78</v>
      </c>
      <c r="K5" s="11" t="s">
        <v>80</v>
      </c>
    </row>
    <row r="6" customFormat="false" ht="23.25" hidden="false" customHeight="true" outlineLevel="0" collapsed="false">
      <c r="A6" s="18" t="n">
        <v>46136</v>
      </c>
      <c r="B6" s="11" t="s">
        <v>81</v>
      </c>
      <c r="C6" s="19" t="s">
        <v>82</v>
      </c>
      <c r="D6" s="20" t="n">
        <v>165</v>
      </c>
      <c r="E6" s="11" t="s">
        <v>83</v>
      </c>
      <c r="F6" s="19" t="s">
        <v>33</v>
      </c>
      <c r="G6" s="19" t="s">
        <v>419</v>
      </c>
      <c r="H6" s="19" t="s">
        <v>85</v>
      </c>
      <c r="I6" s="20" t="n">
        <v>120</v>
      </c>
      <c r="J6" s="19" t="s">
        <v>84</v>
      </c>
      <c r="K6" s="11" t="s">
        <v>86</v>
      </c>
    </row>
    <row r="7" customFormat="false" ht="23.25" hidden="false" customHeight="true" outlineLevel="0" collapsed="false">
      <c r="A7" s="18" t="n">
        <v>46136</v>
      </c>
      <c r="B7" s="11" t="s">
        <v>87</v>
      </c>
      <c r="C7" s="19" t="s">
        <v>88</v>
      </c>
      <c r="D7" s="20" t="n">
        <v>324</v>
      </c>
      <c r="E7" s="11" t="s">
        <v>89</v>
      </c>
      <c r="F7" s="19" t="s">
        <v>41</v>
      </c>
      <c r="G7" s="19" t="s">
        <v>420</v>
      </c>
      <c r="H7" s="19" t="s">
        <v>90</v>
      </c>
      <c r="I7" s="20" t="n">
        <v>0</v>
      </c>
      <c r="J7" s="19" t="s">
        <v>78</v>
      </c>
      <c r="K7" s="11" t="s">
        <v>91</v>
      </c>
    </row>
    <row r="8" customFormat="false" ht="23.25" hidden="false" customHeight="true" outlineLevel="0" collapsed="false">
      <c r="A8" s="18" t="n">
        <v>46136</v>
      </c>
      <c r="B8" s="11" t="s">
        <v>92</v>
      </c>
      <c r="C8" s="19" t="s">
        <v>93</v>
      </c>
      <c r="D8" s="20" t="n">
        <v>50</v>
      </c>
      <c r="E8" s="11" t="s">
        <v>94</v>
      </c>
      <c r="F8" s="19" t="s">
        <v>31</v>
      </c>
      <c r="G8" s="19" t="s">
        <v>421</v>
      </c>
      <c r="H8" s="19" t="s">
        <v>79</v>
      </c>
      <c r="I8" s="20" t="n">
        <v>50</v>
      </c>
      <c r="J8" s="19" t="s">
        <v>84</v>
      </c>
      <c r="K8" s="11" t="s">
        <v>95</v>
      </c>
    </row>
    <row r="9" customFormat="false" ht="23.25" hidden="false" customHeight="true" outlineLevel="0" collapsed="false">
      <c r="A9" s="18" t="n">
        <v>46136</v>
      </c>
      <c r="B9" s="11" t="s">
        <v>96</v>
      </c>
      <c r="C9" s="19" t="s">
        <v>97</v>
      </c>
      <c r="D9" s="20" t="n">
        <v>58</v>
      </c>
      <c r="E9" s="11" t="s">
        <v>98</v>
      </c>
      <c r="F9" s="19" t="s">
        <v>43</v>
      </c>
      <c r="G9" s="19"/>
      <c r="H9" s="19" t="s">
        <v>99</v>
      </c>
      <c r="I9" s="20" t="n">
        <v>0</v>
      </c>
      <c r="J9" s="19" t="s">
        <v>84</v>
      </c>
      <c r="K9" s="11" t="s">
        <v>100</v>
      </c>
    </row>
    <row r="10" customFormat="false" ht="34.5" hidden="false" customHeight="true" outlineLevel="0" collapsed="false">
      <c r="A10" s="18" t="n">
        <v>46186</v>
      </c>
      <c r="B10" s="11" t="s">
        <v>135</v>
      </c>
      <c r="C10" s="19" t="s">
        <v>136</v>
      </c>
      <c r="D10" s="20" t="n">
        <v>480</v>
      </c>
      <c r="E10" s="11" t="s">
        <v>137</v>
      </c>
      <c r="F10" s="19" t="s">
        <v>29</v>
      </c>
      <c r="G10" s="19" t="s">
        <v>422</v>
      </c>
      <c r="H10" s="19" t="s">
        <v>133</v>
      </c>
      <c r="I10" s="20" t="n">
        <v>120</v>
      </c>
      <c r="J10" s="19" t="s">
        <v>138</v>
      </c>
      <c r="K10" s="11" t="s">
        <v>139</v>
      </c>
    </row>
    <row r="11" customFormat="false" ht="23.25" hidden="false" customHeight="true" outlineLevel="0" collapsed="false">
      <c r="A11" s="18" t="n">
        <v>46186</v>
      </c>
      <c r="B11" s="11" t="s">
        <v>140</v>
      </c>
      <c r="C11" s="19" t="s">
        <v>93</v>
      </c>
      <c r="D11" s="20" t="n">
        <v>75</v>
      </c>
      <c r="E11" s="11" t="s">
        <v>141</v>
      </c>
      <c r="F11" s="19" t="s">
        <v>29</v>
      </c>
      <c r="G11" s="19" t="s">
        <v>422</v>
      </c>
      <c r="H11" s="19" t="s">
        <v>133</v>
      </c>
      <c r="I11" s="20" t="n">
        <v>75</v>
      </c>
      <c r="J11" s="19" t="s">
        <v>138</v>
      </c>
      <c r="K11" s="11" t="s">
        <v>142</v>
      </c>
    </row>
    <row r="12" customFormat="false" ht="23.25" hidden="false" customHeight="true" outlineLevel="0" collapsed="false">
      <c r="A12" s="18" t="n">
        <v>46228</v>
      </c>
      <c r="B12" s="11" t="s">
        <v>174</v>
      </c>
      <c r="C12" s="19" t="s">
        <v>136</v>
      </c>
      <c r="D12" s="20" t="n">
        <v>480</v>
      </c>
      <c r="E12" s="11" t="s">
        <v>175</v>
      </c>
      <c r="F12" s="19" t="s">
        <v>41</v>
      </c>
      <c r="G12" s="19" t="s">
        <v>423</v>
      </c>
      <c r="H12" s="19" t="s">
        <v>85</v>
      </c>
      <c r="I12" s="20" t="n">
        <v>0</v>
      </c>
      <c r="J12" s="19" t="s">
        <v>138</v>
      </c>
      <c r="K12" s="11" t="s">
        <v>176</v>
      </c>
    </row>
    <row r="13" customFormat="false" ht="23.25" hidden="false" customHeight="true" outlineLevel="0" collapsed="false">
      <c r="A13" s="18" t="n">
        <v>46228</v>
      </c>
      <c r="B13" s="11" t="s">
        <v>177</v>
      </c>
      <c r="C13" s="19" t="s">
        <v>178</v>
      </c>
      <c r="D13" s="20" t="n">
        <v>160</v>
      </c>
      <c r="E13" s="11" t="s">
        <v>179</v>
      </c>
      <c r="F13" s="19" t="s">
        <v>29</v>
      </c>
      <c r="G13" s="19" t="s">
        <v>424</v>
      </c>
      <c r="H13" s="19" t="s">
        <v>79</v>
      </c>
      <c r="I13" s="20" t="n">
        <v>160</v>
      </c>
      <c r="J13" s="19" t="s">
        <v>138</v>
      </c>
      <c r="K13" s="11" t="s">
        <v>180</v>
      </c>
    </row>
    <row r="14" customFormat="false" ht="23.25" hidden="false" customHeight="true" outlineLevel="0" collapsed="false">
      <c r="A14" s="18" t="n">
        <v>46249</v>
      </c>
      <c r="B14" s="11" t="s">
        <v>187</v>
      </c>
      <c r="C14" s="19" t="s">
        <v>188</v>
      </c>
      <c r="D14" s="20" t="n">
        <v>165</v>
      </c>
      <c r="E14" s="11" t="s">
        <v>189</v>
      </c>
      <c r="F14" s="19" t="s">
        <v>33</v>
      </c>
      <c r="G14" s="19" t="s">
        <v>425</v>
      </c>
      <c r="H14" s="19" t="s">
        <v>85</v>
      </c>
      <c r="I14" s="20" t="n">
        <v>120</v>
      </c>
      <c r="J14" s="19" t="s">
        <v>78</v>
      </c>
      <c r="K14" s="11" t="s">
        <v>190</v>
      </c>
    </row>
    <row r="15" customFormat="false" ht="23.25" hidden="false" customHeight="true" outlineLevel="0" collapsed="false">
      <c r="A15" s="18" t="n">
        <v>46327</v>
      </c>
      <c r="B15" s="11" t="s">
        <v>218</v>
      </c>
      <c r="C15" s="19" t="s">
        <v>136</v>
      </c>
      <c r="D15" s="20" t="n">
        <v>480</v>
      </c>
      <c r="E15" s="11" t="s">
        <v>219</v>
      </c>
      <c r="F15" s="19" t="s">
        <v>29</v>
      </c>
      <c r="G15" s="19" t="s">
        <v>426</v>
      </c>
      <c r="H15" s="19" t="s">
        <v>79</v>
      </c>
      <c r="I15" s="20" t="n">
        <v>75</v>
      </c>
      <c r="J15" s="19" t="s">
        <v>138</v>
      </c>
      <c r="K15" s="11" t="s">
        <v>220</v>
      </c>
    </row>
    <row r="16" customFormat="false" ht="23.25" hidden="false" customHeight="true" outlineLevel="0" collapsed="false">
      <c r="A16" s="18" t="n">
        <v>46327</v>
      </c>
      <c r="B16" s="11" t="s">
        <v>221</v>
      </c>
      <c r="C16" s="19" t="s">
        <v>93</v>
      </c>
      <c r="D16" s="20" t="n">
        <v>75</v>
      </c>
      <c r="E16" s="11" t="s">
        <v>222</v>
      </c>
      <c r="F16" s="19" t="s">
        <v>29</v>
      </c>
      <c r="G16" s="19" t="s">
        <v>426</v>
      </c>
      <c r="H16" s="19" t="s">
        <v>133</v>
      </c>
      <c r="I16" s="20" t="n">
        <v>75</v>
      </c>
      <c r="J16" s="19" t="s">
        <v>138</v>
      </c>
      <c r="K16" s="11" t="s">
        <v>223</v>
      </c>
    </row>
    <row r="17" customFormat="false" ht="23.25" hidden="false" customHeight="true" outlineLevel="0" collapsed="false">
      <c r="A17" s="18" t="n">
        <v>46433</v>
      </c>
      <c r="B17" s="11" t="s">
        <v>253</v>
      </c>
      <c r="C17" s="19" t="s">
        <v>188</v>
      </c>
      <c r="D17" s="20" t="n">
        <v>165</v>
      </c>
      <c r="E17" s="11" t="s">
        <v>254</v>
      </c>
      <c r="F17" s="19" t="s">
        <v>33</v>
      </c>
      <c r="G17" s="19" t="s">
        <v>409</v>
      </c>
      <c r="H17" s="19" t="s">
        <v>90</v>
      </c>
      <c r="I17" s="20" t="n">
        <v>0</v>
      </c>
      <c r="J17" s="19" t="s">
        <v>84</v>
      </c>
      <c r="K17" s="11" t="s">
        <v>255</v>
      </c>
    </row>
    <row r="18" customFormat="false" ht="23.25" hidden="false" customHeight="true" outlineLevel="0" collapsed="false">
      <c r="A18" s="18" t="n">
        <v>46497</v>
      </c>
      <c r="B18" s="11" t="s">
        <v>267</v>
      </c>
      <c r="C18" s="19" t="s">
        <v>188</v>
      </c>
      <c r="D18" s="20" t="n">
        <v>165</v>
      </c>
      <c r="E18" s="11" t="s">
        <v>268</v>
      </c>
      <c r="F18" s="19" t="s">
        <v>41</v>
      </c>
      <c r="G18" s="19" t="s">
        <v>427</v>
      </c>
      <c r="H18" s="19" t="s">
        <v>90</v>
      </c>
      <c r="I18" s="20" t="n">
        <v>0</v>
      </c>
      <c r="J18" s="19" t="s">
        <v>84</v>
      </c>
      <c r="K18" s="11" t="s">
        <v>269</v>
      </c>
    </row>
    <row r="19" customFormat="false" ht="23.25" hidden="false" customHeight="true" outlineLevel="0" collapsed="false">
      <c r="A19" s="18" t="n">
        <v>46553</v>
      </c>
      <c r="B19" s="11" t="s">
        <v>277</v>
      </c>
      <c r="C19" s="19" t="s">
        <v>136</v>
      </c>
      <c r="D19" s="20" t="n">
        <v>550</v>
      </c>
      <c r="E19" s="11" t="s">
        <v>278</v>
      </c>
      <c r="F19" s="19" t="s">
        <v>29</v>
      </c>
      <c r="G19" s="19" t="s">
        <v>428</v>
      </c>
      <c r="H19" s="19" t="s">
        <v>133</v>
      </c>
      <c r="I19" s="20" t="n">
        <v>0</v>
      </c>
      <c r="J19" s="19" t="s">
        <v>138</v>
      </c>
      <c r="K19" s="11" t="s">
        <v>279</v>
      </c>
    </row>
    <row r="20" customFormat="false" ht="23.25" hidden="false" customHeight="true" outlineLevel="0" collapsed="false">
      <c r="A20" s="18" t="n">
        <v>46675</v>
      </c>
      <c r="B20" s="11" t="s">
        <v>295</v>
      </c>
      <c r="C20" s="19" t="s">
        <v>136</v>
      </c>
      <c r="D20" s="20" t="n">
        <v>480</v>
      </c>
      <c r="E20" s="11" t="s">
        <v>296</v>
      </c>
      <c r="F20" s="19" t="s">
        <v>41</v>
      </c>
      <c r="G20" s="19" t="s">
        <v>429</v>
      </c>
      <c r="H20" s="19" t="s">
        <v>79</v>
      </c>
      <c r="I20" s="20" t="n">
        <v>75</v>
      </c>
      <c r="J20" s="19" t="s">
        <v>243</v>
      </c>
      <c r="K20" s="11" t="s">
        <v>297</v>
      </c>
    </row>
    <row r="21" customFormat="false" ht="23.25" hidden="false" customHeight="true" outlineLevel="0" collapsed="false">
      <c r="A21" s="18" t="n">
        <v>46772</v>
      </c>
      <c r="B21" s="11" t="s">
        <v>309</v>
      </c>
      <c r="C21" s="19" t="s">
        <v>188</v>
      </c>
      <c r="D21" s="20" t="n">
        <v>165</v>
      </c>
      <c r="E21" s="11" t="s">
        <v>268</v>
      </c>
      <c r="F21" s="19" t="s">
        <v>41</v>
      </c>
      <c r="G21" s="19" t="s">
        <v>430</v>
      </c>
      <c r="H21" s="19" t="s">
        <v>90</v>
      </c>
      <c r="I21" s="20" t="n">
        <v>0</v>
      </c>
      <c r="J21" s="19" t="s">
        <v>84</v>
      </c>
      <c r="K21" s="11" t="s">
        <v>310</v>
      </c>
    </row>
    <row r="22" customFormat="false" ht="45.75" hidden="false" customHeight="true" outlineLevel="0" collapsed="false">
      <c r="A22" s="18" t="n">
        <v>46980</v>
      </c>
      <c r="B22" s="11" t="s">
        <v>337</v>
      </c>
      <c r="C22" s="19" t="s">
        <v>136</v>
      </c>
      <c r="D22" s="20" t="n">
        <v>550</v>
      </c>
      <c r="E22" s="11" t="s">
        <v>338</v>
      </c>
      <c r="F22" s="19" t="s">
        <v>29</v>
      </c>
      <c r="G22" s="19" t="s">
        <v>431</v>
      </c>
      <c r="H22" s="19" t="s">
        <v>133</v>
      </c>
      <c r="I22" s="20" t="n">
        <v>150</v>
      </c>
      <c r="J22" s="19" t="s">
        <v>243</v>
      </c>
      <c r="K22" s="11" t="s">
        <v>339</v>
      </c>
    </row>
    <row r="23" customFormat="false" ht="23.25" hidden="false" customHeight="true" outlineLevel="0" collapsed="false">
      <c r="A23" s="18" t="n">
        <v>47197</v>
      </c>
      <c r="B23" s="11" t="s">
        <v>367</v>
      </c>
      <c r="C23" s="19" t="s">
        <v>136</v>
      </c>
      <c r="D23" s="20" t="n">
        <v>500</v>
      </c>
      <c r="E23" s="11" t="s">
        <v>368</v>
      </c>
      <c r="F23" s="19" t="s">
        <v>41</v>
      </c>
      <c r="G23" s="19" t="s">
        <v>432</v>
      </c>
      <c r="H23" s="19" t="s">
        <v>85</v>
      </c>
      <c r="I23" s="20" t="n">
        <v>75</v>
      </c>
      <c r="J23" s="19" t="s">
        <v>138</v>
      </c>
      <c r="K23" s="11" t="s">
        <v>369</v>
      </c>
    </row>
    <row r="25" customFormat="false" ht="15" hidden="false" customHeight="true" outlineLevel="0" collapsed="false">
      <c r="A25" s="37" t="s">
        <v>415</v>
      </c>
      <c r="D25" s="38" t="n">
        <f aca="false">SUM(D5:D23)</f>
        <v>5117</v>
      </c>
      <c r="I25" s="38" t="n">
        <f aca="false">SUM(I5:I23)</f>
        <v>1125</v>
      </c>
    </row>
  </sheetData>
  <autoFilter ref="A4:K23"/>
  <mergeCells count="2">
    <mergeCell ref="A1:K1"/>
    <mergeCell ref="A2:K2"/>
  </mergeCells>
  <conditionalFormatting sqref="H5:H23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434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46164</v>
      </c>
      <c r="B5" s="11" t="s">
        <v>112</v>
      </c>
      <c r="C5" s="19" t="s">
        <v>108</v>
      </c>
      <c r="D5" s="20" t="n">
        <v>120</v>
      </c>
      <c r="E5" s="11" t="s">
        <v>114</v>
      </c>
      <c r="F5" s="19" t="s">
        <v>29</v>
      </c>
      <c r="G5" s="19" t="s">
        <v>435</v>
      </c>
      <c r="H5" s="19" t="s">
        <v>79</v>
      </c>
      <c r="I5" s="20" t="n">
        <v>120</v>
      </c>
      <c r="J5" s="19" t="s">
        <v>78</v>
      </c>
      <c r="K5" s="11" t="s">
        <v>115</v>
      </c>
    </row>
    <row r="6" customFormat="false" ht="23.25" hidden="false" customHeight="true" outlineLevel="0" collapsed="false">
      <c r="A6" s="18" t="n">
        <v>46254</v>
      </c>
      <c r="B6" s="11" t="s">
        <v>191</v>
      </c>
      <c r="C6" s="19" t="s">
        <v>192</v>
      </c>
      <c r="D6" s="20" t="n">
        <v>120</v>
      </c>
      <c r="E6" s="11" t="s">
        <v>193</v>
      </c>
      <c r="F6" s="19" t="s">
        <v>29</v>
      </c>
      <c r="G6" s="19" t="s">
        <v>436</v>
      </c>
      <c r="H6" s="19" t="s">
        <v>79</v>
      </c>
      <c r="I6" s="20" t="n">
        <v>120</v>
      </c>
      <c r="J6" s="19" t="s">
        <v>78</v>
      </c>
      <c r="K6" s="11" t="s">
        <v>194</v>
      </c>
    </row>
    <row r="7" customFormat="false" ht="23.25" hidden="false" customHeight="true" outlineLevel="0" collapsed="false">
      <c r="A7" s="18" t="n">
        <v>46336</v>
      </c>
      <c r="B7" s="11" t="s">
        <v>227</v>
      </c>
      <c r="C7" s="19" t="s">
        <v>192</v>
      </c>
      <c r="D7" s="20" t="n">
        <v>120</v>
      </c>
      <c r="E7" s="11" t="s">
        <v>228</v>
      </c>
      <c r="F7" s="19" t="s">
        <v>29</v>
      </c>
      <c r="G7" s="19" t="s">
        <v>437</v>
      </c>
      <c r="H7" s="19" t="s">
        <v>79</v>
      </c>
      <c r="I7" s="20" t="n">
        <v>120</v>
      </c>
      <c r="J7" s="19" t="s">
        <v>78</v>
      </c>
      <c r="K7" s="11" t="s">
        <v>229</v>
      </c>
    </row>
    <row r="8" customFormat="false" ht="34.5" hidden="false" customHeight="true" outlineLevel="0" collapsed="false">
      <c r="A8" s="18" t="n">
        <v>46569</v>
      </c>
      <c r="B8" s="11" t="s">
        <v>280</v>
      </c>
      <c r="C8" s="19" t="s">
        <v>281</v>
      </c>
      <c r="D8" s="20" t="n">
        <v>100</v>
      </c>
      <c r="E8" s="11" t="s">
        <v>282</v>
      </c>
      <c r="F8" s="19" t="s">
        <v>29</v>
      </c>
      <c r="G8" s="19" t="s">
        <v>438</v>
      </c>
      <c r="H8" s="19" t="s">
        <v>133</v>
      </c>
      <c r="I8" s="20" t="n">
        <v>200</v>
      </c>
      <c r="J8" s="19" t="s">
        <v>138</v>
      </c>
      <c r="K8" s="11" t="s">
        <v>283</v>
      </c>
    </row>
    <row r="9" customFormat="false" ht="23.25" hidden="false" customHeight="true" outlineLevel="0" collapsed="false">
      <c r="A9" s="18" t="n">
        <v>47072</v>
      </c>
      <c r="B9" s="11" t="s">
        <v>349</v>
      </c>
      <c r="C9" s="19" t="s">
        <v>192</v>
      </c>
      <c r="D9" s="20" t="n">
        <v>130</v>
      </c>
      <c r="E9" s="11" t="s">
        <v>350</v>
      </c>
      <c r="F9" s="19" t="s">
        <v>31</v>
      </c>
      <c r="G9" s="19" t="s">
        <v>439</v>
      </c>
      <c r="H9" s="19" t="s">
        <v>85</v>
      </c>
      <c r="I9" s="20" t="n">
        <v>130</v>
      </c>
      <c r="J9" s="19" t="s">
        <v>78</v>
      </c>
      <c r="K9" s="11" t="s">
        <v>351</v>
      </c>
    </row>
    <row r="11" customFormat="false" ht="15" hidden="false" customHeight="true" outlineLevel="0" collapsed="false">
      <c r="A11" s="37" t="s">
        <v>415</v>
      </c>
      <c r="D11" s="38" t="n">
        <f aca="false">SUM(D5:D9)</f>
        <v>590</v>
      </c>
      <c r="I11" s="38" t="n">
        <f aca="false">SUM(I5:I9)</f>
        <v>690</v>
      </c>
    </row>
  </sheetData>
  <autoFilter ref="A4:K9"/>
  <mergeCells count="2">
    <mergeCell ref="A1:K1"/>
    <mergeCell ref="A2:K2"/>
  </mergeCells>
  <conditionalFormatting sqref="H5:H9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440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441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46157</v>
      </c>
      <c r="B5" s="11" t="s">
        <v>102</v>
      </c>
      <c r="C5" s="19" t="s">
        <v>104</v>
      </c>
      <c r="D5" s="20" t="n">
        <v>50</v>
      </c>
      <c r="E5" s="11" t="s">
        <v>105</v>
      </c>
      <c r="F5" s="19" t="s">
        <v>31</v>
      </c>
      <c r="G5" s="19" t="s">
        <v>442</v>
      </c>
      <c r="H5" s="19" t="s">
        <v>79</v>
      </c>
      <c r="I5" s="20" t="n">
        <v>50</v>
      </c>
      <c r="J5" s="19" t="s">
        <v>84</v>
      </c>
      <c r="K5" s="11" t="s">
        <v>106</v>
      </c>
    </row>
    <row r="6" customFormat="false" ht="23.25" hidden="false" customHeight="true" outlineLevel="0" collapsed="false">
      <c r="A6" s="18" t="n">
        <v>46157</v>
      </c>
      <c r="B6" s="11" t="s">
        <v>107</v>
      </c>
      <c r="C6" s="19" t="s">
        <v>108</v>
      </c>
      <c r="D6" s="20" t="n">
        <v>145</v>
      </c>
      <c r="E6" s="11" t="s">
        <v>109</v>
      </c>
      <c r="F6" s="19" t="s">
        <v>33</v>
      </c>
      <c r="G6" s="19" t="s">
        <v>443</v>
      </c>
      <c r="H6" s="19" t="s">
        <v>85</v>
      </c>
      <c r="I6" s="20" t="n">
        <v>140</v>
      </c>
      <c r="J6" s="19" t="s">
        <v>84</v>
      </c>
      <c r="K6" s="11" t="s">
        <v>110</v>
      </c>
    </row>
    <row r="7" customFormat="false" ht="23.25" hidden="false" customHeight="true" outlineLevel="0" collapsed="false">
      <c r="A7" s="18" t="n">
        <v>46270</v>
      </c>
      <c r="B7" s="11" t="s">
        <v>195</v>
      </c>
      <c r="C7" s="19" t="s">
        <v>192</v>
      </c>
      <c r="D7" s="20" t="n">
        <v>145</v>
      </c>
      <c r="E7" s="11" t="s">
        <v>196</v>
      </c>
      <c r="F7" s="19" t="s">
        <v>31</v>
      </c>
      <c r="G7" s="19" t="s">
        <v>444</v>
      </c>
      <c r="H7" s="19" t="s">
        <v>85</v>
      </c>
      <c r="I7" s="20" t="n">
        <v>140</v>
      </c>
      <c r="J7" s="19" t="s">
        <v>84</v>
      </c>
      <c r="K7" s="11" t="s">
        <v>197</v>
      </c>
    </row>
    <row r="8" customFormat="false" ht="23.25" hidden="false" customHeight="true" outlineLevel="0" collapsed="false">
      <c r="A8" s="18" t="n">
        <v>46471</v>
      </c>
      <c r="B8" s="11" t="s">
        <v>259</v>
      </c>
      <c r="C8" s="19" t="s">
        <v>192</v>
      </c>
      <c r="D8" s="20" t="n">
        <v>150</v>
      </c>
      <c r="E8" s="11" t="s">
        <v>260</v>
      </c>
      <c r="F8" s="19" t="s">
        <v>31</v>
      </c>
      <c r="G8" s="19" t="s">
        <v>445</v>
      </c>
      <c r="H8" s="19" t="s">
        <v>85</v>
      </c>
      <c r="I8" s="20" t="n">
        <v>145</v>
      </c>
      <c r="J8" s="19" t="s">
        <v>84</v>
      </c>
      <c r="K8" s="11" t="s">
        <v>261</v>
      </c>
    </row>
    <row r="9" customFormat="false" ht="23.25" hidden="false" customHeight="true" outlineLevel="0" collapsed="false">
      <c r="A9" s="18" t="n">
        <v>46822</v>
      </c>
      <c r="B9" s="11" t="s">
        <v>314</v>
      </c>
      <c r="C9" s="19" t="s">
        <v>315</v>
      </c>
      <c r="D9" s="20" t="n">
        <v>75</v>
      </c>
      <c r="E9" s="11" t="s">
        <v>316</v>
      </c>
      <c r="F9" s="19" t="s">
        <v>29</v>
      </c>
      <c r="G9" s="19" t="s">
        <v>446</v>
      </c>
      <c r="H9" s="19" t="s">
        <v>133</v>
      </c>
      <c r="I9" s="20" t="n">
        <v>75</v>
      </c>
      <c r="J9" s="19" t="s">
        <v>138</v>
      </c>
      <c r="K9" s="11" t="s">
        <v>317</v>
      </c>
    </row>
    <row r="11" customFormat="false" ht="15" hidden="false" customHeight="true" outlineLevel="0" collapsed="false">
      <c r="A11" s="37" t="s">
        <v>415</v>
      </c>
      <c r="D11" s="38" t="n">
        <f aca="false">SUM(D5:D9)</f>
        <v>565</v>
      </c>
      <c r="I11" s="38" t="n">
        <f aca="false">SUM(I5:I9)</f>
        <v>550</v>
      </c>
    </row>
  </sheetData>
  <autoFilter ref="A4:K9"/>
  <mergeCells count="2">
    <mergeCell ref="A1:K1"/>
    <mergeCell ref="A2:K2"/>
  </mergeCells>
  <conditionalFormatting sqref="H5:H9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448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47041</v>
      </c>
      <c r="B5" s="11" t="s">
        <v>344</v>
      </c>
      <c r="C5" s="19" t="s">
        <v>346</v>
      </c>
      <c r="D5" s="20" t="n">
        <v>80</v>
      </c>
      <c r="E5" s="11" t="s">
        <v>347</v>
      </c>
      <c r="F5" s="19" t="s">
        <v>29</v>
      </c>
      <c r="G5" s="19" t="s">
        <v>449</v>
      </c>
      <c r="H5" s="19" t="s">
        <v>133</v>
      </c>
      <c r="I5" s="20" t="n">
        <v>160</v>
      </c>
      <c r="J5" s="19" t="s">
        <v>138</v>
      </c>
      <c r="K5" s="11" t="s">
        <v>348</v>
      </c>
    </row>
    <row r="6" customFormat="false" ht="34.5" hidden="false" customHeight="true" outlineLevel="0" collapsed="false">
      <c r="A6" s="18" t="n">
        <v>47133</v>
      </c>
      <c r="B6" s="11" t="s">
        <v>356</v>
      </c>
      <c r="C6" s="19" t="s">
        <v>357</v>
      </c>
      <c r="D6" s="20" t="n">
        <v>100</v>
      </c>
      <c r="E6" s="11" t="s">
        <v>358</v>
      </c>
      <c r="F6" s="19" t="s">
        <v>29</v>
      </c>
      <c r="G6" s="19" t="s">
        <v>450</v>
      </c>
      <c r="H6" s="19" t="s">
        <v>133</v>
      </c>
      <c r="I6" s="20" t="n">
        <v>200</v>
      </c>
      <c r="J6" s="19" t="s">
        <v>243</v>
      </c>
      <c r="K6" s="11" t="s">
        <v>359</v>
      </c>
    </row>
    <row r="8" customFormat="false" ht="15" hidden="false" customHeight="true" outlineLevel="0" collapsed="false">
      <c r="A8" s="37" t="s">
        <v>415</v>
      </c>
      <c r="D8" s="38" t="n">
        <f aca="false">SUM(D5:D6)</f>
        <v>180</v>
      </c>
      <c r="I8" s="38" t="n">
        <f aca="false">SUM(I5:I6)</f>
        <v>360</v>
      </c>
    </row>
  </sheetData>
  <autoFilter ref="A4:K6"/>
  <mergeCells count="2">
    <mergeCell ref="A1:K1"/>
    <mergeCell ref="A2:K2"/>
  </mergeCells>
  <conditionalFormatting sqref="H5:H6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46192</v>
      </c>
      <c r="B5" s="11" t="s">
        <v>154</v>
      </c>
      <c r="C5" s="19" t="s">
        <v>156</v>
      </c>
      <c r="D5" s="20" t="n">
        <v>110</v>
      </c>
      <c r="E5" s="11" t="s">
        <v>157</v>
      </c>
      <c r="F5" s="19" t="s">
        <v>31</v>
      </c>
      <c r="G5" s="19" t="s">
        <v>453</v>
      </c>
      <c r="H5" s="19" t="s">
        <v>85</v>
      </c>
      <c r="I5" s="20" t="n">
        <v>110</v>
      </c>
      <c r="J5" s="19" t="s">
        <v>84</v>
      </c>
      <c r="K5" s="11" t="s">
        <v>158</v>
      </c>
    </row>
    <row r="6" customFormat="false" ht="23.25" hidden="false" customHeight="true" outlineLevel="0" collapsed="false">
      <c r="A6" s="18" t="n">
        <v>46241</v>
      </c>
      <c r="B6" s="11" t="s">
        <v>181</v>
      </c>
      <c r="C6" s="19" t="s">
        <v>156</v>
      </c>
      <c r="D6" s="20" t="n">
        <v>270</v>
      </c>
      <c r="E6" s="11" t="s">
        <v>182</v>
      </c>
      <c r="F6" s="19" t="s">
        <v>41</v>
      </c>
      <c r="G6" s="19" t="s">
        <v>454</v>
      </c>
      <c r="H6" s="19" t="s">
        <v>85</v>
      </c>
      <c r="I6" s="20" t="n">
        <v>0</v>
      </c>
      <c r="J6" s="19" t="s">
        <v>78</v>
      </c>
      <c r="K6" s="11" t="s">
        <v>183</v>
      </c>
    </row>
    <row r="7" customFormat="false" ht="34.5" hidden="false" customHeight="true" outlineLevel="0" collapsed="false">
      <c r="A7" s="18" t="n">
        <v>46317</v>
      </c>
      <c r="B7" s="11" t="s">
        <v>215</v>
      </c>
      <c r="C7" s="19" t="s">
        <v>156</v>
      </c>
      <c r="D7" s="20" t="n">
        <v>110</v>
      </c>
      <c r="E7" s="11" t="s">
        <v>216</v>
      </c>
      <c r="F7" s="19" t="s">
        <v>31</v>
      </c>
      <c r="G7" s="19" t="s">
        <v>455</v>
      </c>
      <c r="H7" s="19" t="s">
        <v>79</v>
      </c>
      <c r="I7" s="20" t="n">
        <v>110</v>
      </c>
      <c r="J7" s="19" t="s">
        <v>84</v>
      </c>
      <c r="K7" s="11" t="s">
        <v>217</v>
      </c>
    </row>
    <row r="8" customFormat="false" ht="34.5" hidden="false" customHeight="true" outlineLevel="0" collapsed="false">
      <c r="A8" s="18" t="n">
        <v>46347</v>
      </c>
      <c r="B8" s="11" t="s">
        <v>230</v>
      </c>
      <c r="C8" s="19" t="s">
        <v>156</v>
      </c>
      <c r="D8" s="20" t="n">
        <v>160</v>
      </c>
      <c r="E8" s="11" t="s">
        <v>231</v>
      </c>
      <c r="F8" s="19" t="s">
        <v>41</v>
      </c>
      <c r="G8" s="19" t="s">
        <v>456</v>
      </c>
      <c r="H8" s="19" t="s">
        <v>85</v>
      </c>
      <c r="I8" s="20" t="n">
        <v>0</v>
      </c>
      <c r="J8" s="19" t="s">
        <v>78</v>
      </c>
      <c r="K8" s="11" t="s">
        <v>232</v>
      </c>
    </row>
    <row r="9" customFormat="false" ht="23.25" hidden="false" customHeight="true" outlineLevel="0" collapsed="false">
      <c r="A9" s="18" t="n">
        <v>46414</v>
      </c>
      <c r="B9" s="11" t="s">
        <v>245</v>
      </c>
      <c r="C9" s="19" t="s">
        <v>156</v>
      </c>
      <c r="D9" s="20" t="n">
        <v>110</v>
      </c>
      <c r="E9" s="11" t="s">
        <v>246</v>
      </c>
      <c r="F9" s="19" t="s">
        <v>31</v>
      </c>
      <c r="G9" s="19" t="s">
        <v>457</v>
      </c>
      <c r="H9" s="19" t="s">
        <v>85</v>
      </c>
      <c r="I9" s="20" t="n">
        <v>110</v>
      </c>
      <c r="J9" s="19" t="s">
        <v>84</v>
      </c>
      <c r="K9" s="11" t="s">
        <v>247</v>
      </c>
    </row>
    <row r="10" customFormat="false" ht="23.25" hidden="false" customHeight="true" outlineLevel="0" collapsed="false">
      <c r="A10" s="18" t="n">
        <v>46460</v>
      </c>
      <c r="B10" s="11" t="s">
        <v>256</v>
      </c>
      <c r="C10" s="19" t="s">
        <v>156</v>
      </c>
      <c r="D10" s="20" t="n">
        <v>120</v>
      </c>
      <c r="E10" s="11" t="s">
        <v>257</v>
      </c>
      <c r="F10" s="19" t="s">
        <v>31</v>
      </c>
      <c r="G10" s="19" t="s">
        <v>458</v>
      </c>
      <c r="H10" s="19" t="s">
        <v>85</v>
      </c>
      <c r="I10" s="20" t="n">
        <v>120</v>
      </c>
      <c r="J10" s="19" t="s">
        <v>84</v>
      </c>
      <c r="K10" s="11" t="s">
        <v>258</v>
      </c>
    </row>
    <row r="11" customFormat="false" ht="23.25" hidden="false" customHeight="true" outlineLevel="0" collapsed="false">
      <c r="A11" s="18" t="n">
        <v>46696</v>
      </c>
      <c r="B11" s="11" t="s">
        <v>298</v>
      </c>
      <c r="C11" s="19" t="s">
        <v>156</v>
      </c>
      <c r="D11" s="20" t="n">
        <v>160</v>
      </c>
      <c r="E11" s="11" t="s">
        <v>299</v>
      </c>
      <c r="F11" s="19" t="s">
        <v>41</v>
      </c>
      <c r="G11" s="19" t="s">
        <v>459</v>
      </c>
      <c r="H11" s="19" t="s">
        <v>85</v>
      </c>
      <c r="I11" s="20" t="n">
        <v>0</v>
      </c>
      <c r="J11" s="19" t="s">
        <v>78</v>
      </c>
      <c r="K11" s="11" t="s">
        <v>300</v>
      </c>
    </row>
    <row r="12" customFormat="false" ht="23.25" hidden="false" customHeight="true" outlineLevel="0" collapsed="false">
      <c r="A12" s="18" t="n">
        <v>46858</v>
      </c>
      <c r="B12" s="11" t="s">
        <v>318</v>
      </c>
      <c r="C12" s="19" t="s">
        <v>156</v>
      </c>
      <c r="D12" s="20" t="n">
        <v>110</v>
      </c>
      <c r="E12" s="11" t="s">
        <v>319</v>
      </c>
      <c r="F12" s="19" t="s">
        <v>31</v>
      </c>
      <c r="G12" s="19" t="s">
        <v>460</v>
      </c>
      <c r="H12" s="19" t="s">
        <v>85</v>
      </c>
      <c r="I12" s="20" t="n">
        <v>110</v>
      </c>
      <c r="J12" s="19" t="s">
        <v>84</v>
      </c>
      <c r="K12" s="11" t="s">
        <v>320</v>
      </c>
    </row>
    <row r="13" customFormat="false" ht="23.25" hidden="false" customHeight="true" outlineLevel="0" collapsed="false">
      <c r="A13" s="18" t="n">
        <v>47088</v>
      </c>
      <c r="B13" s="11" t="s">
        <v>352</v>
      </c>
      <c r="C13" s="19" t="s">
        <v>353</v>
      </c>
      <c r="D13" s="20" t="n">
        <v>400</v>
      </c>
      <c r="E13" s="11" t="s">
        <v>354</v>
      </c>
      <c r="F13" s="19" t="s">
        <v>41</v>
      </c>
      <c r="G13" s="19" t="s">
        <v>461</v>
      </c>
      <c r="H13" s="19" t="s">
        <v>90</v>
      </c>
      <c r="I13" s="20" t="n">
        <v>0</v>
      </c>
      <c r="J13" s="19" t="s">
        <v>84</v>
      </c>
      <c r="K13" s="11" t="s">
        <v>355</v>
      </c>
    </row>
    <row r="15" customFormat="false" ht="15" hidden="false" customHeight="true" outlineLevel="0" collapsed="false">
      <c r="A15" s="37" t="s">
        <v>415</v>
      </c>
      <c r="D15" s="38" t="n">
        <f aca="false">SUM(D5:D13)</f>
        <v>1550</v>
      </c>
      <c r="I15" s="38" t="n">
        <f aca="false">SUM(I5:I13)</f>
        <v>560</v>
      </c>
    </row>
  </sheetData>
  <autoFilter ref="A4:K13"/>
  <mergeCells count="2">
    <mergeCell ref="A1:K1"/>
    <mergeCell ref="A2:K2"/>
  </mergeCells>
  <conditionalFormatting sqref="H5:H13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463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46280</v>
      </c>
      <c r="B5" s="11" t="s">
        <v>204</v>
      </c>
      <c r="C5" s="19" t="s">
        <v>156</v>
      </c>
      <c r="D5" s="20" t="n">
        <v>180</v>
      </c>
      <c r="E5" s="11" t="s">
        <v>205</v>
      </c>
      <c r="F5" s="19" t="s">
        <v>29</v>
      </c>
      <c r="G5" s="19" t="s">
        <v>464</v>
      </c>
      <c r="H5" s="19" t="s">
        <v>133</v>
      </c>
      <c r="I5" s="20" t="n">
        <v>180</v>
      </c>
      <c r="J5" s="19" t="s">
        <v>138</v>
      </c>
      <c r="K5" s="11" t="s">
        <v>206</v>
      </c>
    </row>
    <row r="6" customFormat="false" ht="34.5" hidden="false" customHeight="true" outlineLevel="0" collapsed="false">
      <c r="A6" s="18" t="n">
        <v>46280</v>
      </c>
      <c r="B6" s="11" t="s">
        <v>207</v>
      </c>
      <c r="C6" s="19" t="s">
        <v>208</v>
      </c>
      <c r="D6" s="20" t="n">
        <v>400</v>
      </c>
      <c r="E6" s="11" t="s">
        <v>209</v>
      </c>
      <c r="F6" s="19" t="s">
        <v>41</v>
      </c>
      <c r="G6" s="19" t="s">
        <v>465</v>
      </c>
      <c r="H6" s="19" t="s">
        <v>79</v>
      </c>
      <c r="I6" s="20" t="n">
        <v>0</v>
      </c>
      <c r="J6" s="19" t="s">
        <v>84</v>
      </c>
      <c r="K6" s="11" t="s">
        <v>210</v>
      </c>
    </row>
    <row r="7" customFormat="false" ht="34.5" hidden="false" customHeight="true" outlineLevel="0" collapsed="false">
      <c r="A7" s="18" t="n">
        <v>47011</v>
      </c>
      <c r="B7" s="11" t="s">
        <v>340</v>
      </c>
      <c r="C7" s="19" t="s">
        <v>156</v>
      </c>
      <c r="D7" s="20" t="n">
        <v>180</v>
      </c>
      <c r="E7" s="11" t="s">
        <v>341</v>
      </c>
      <c r="F7" s="19" t="s">
        <v>29</v>
      </c>
      <c r="G7" s="19" t="s">
        <v>466</v>
      </c>
      <c r="H7" s="19" t="s">
        <v>133</v>
      </c>
      <c r="I7" s="20" t="n">
        <v>180</v>
      </c>
      <c r="J7" s="19" t="s">
        <v>138</v>
      </c>
      <c r="K7" s="11" t="s">
        <v>342</v>
      </c>
    </row>
    <row r="9" customFormat="false" ht="15" hidden="false" customHeight="true" outlineLevel="0" collapsed="false">
      <c r="A9" s="37" t="s">
        <v>415</v>
      </c>
      <c r="D9" s="38" t="n">
        <f aca="false">SUM(D5:D7)</f>
        <v>760</v>
      </c>
      <c r="I9" s="38" t="n">
        <f aca="false">SUM(I5:I7)</f>
        <v>360</v>
      </c>
    </row>
  </sheetData>
  <autoFilter ref="A4:K7"/>
  <mergeCells count="2">
    <mergeCell ref="A1:K1"/>
    <mergeCell ref="A2:K2"/>
  </mergeCells>
  <conditionalFormatting sqref="H5:H7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468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46361</v>
      </c>
      <c r="B5" s="11" t="s">
        <v>234</v>
      </c>
      <c r="C5" s="19" t="s">
        <v>156</v>
      </c>
      <c r="D5" s="20" t="n">
        <v>180</v>
      </c>
      <c r="E5" s="11" t="s">
        <v>235</v>
      </c>
      <c r="F5" s="19" t="s">
        <v>29</v>
      </c>
      <c r="G5" s="19" t="s">
        <v>469</v>
      </c>
      <c r="H5" s="19" t="s">
        <v>133</v>
      </c>
      <c r="I5" s="20" t="n">
        <v>180</v>
      </c>
      <c r="J5" s="19" t="s">
        <v>138</v>
      </c>
      <c r="K5" s="11" t="s">
        <v>236</v>
      </c>
    </row>
    <row r="6" customFormat="false" ht="23.25" hidden="false" customHeight="true" outlineLevel="0" collapsed="false">
      <c r="A6" s="18" t="n">
        <v>46366</v>
      </c>
      <c r="B6" s="11" t="s">
        <v>237</v>
      </c>
      <c r="C6" s="19" t="s">
        <v>208</v>
      </c>
      <c r="D6" s="20" t="n">
        <v>380</v>
      </c>
      <c r="E6" s="11" t="s">
        <v>238</v>
      </c>
      <c r="F6" s="19" t="s">
        <v>41</v>
      </c>
      <c r="G6" s="19" t="s">
        <v>470</v>
      </c>
      <c r="H6" s="19" t="s">
        <v>79</v>
      </c>
      <c r="I6" s="20" t="n">
        <v>0</v>
      </c>
      <c r="J6" s="19" t="s">
        <v>84</v>
      </c>
      <c r="K6" s="11" t="s">
        <v>239</v>
      </c>
    </row>
    <row r="7" customFormat="false" ht="23.25" hidden="false" customHeight="true" outlineLevel="0" collapsed="false">
      <c r="A7" s="18" t="n">
        <v>46425</v>
      </c>
      <c r="B7" s="11" t="s">
        <v>248</v>
      </c>
      <c r="C7" s="19" t="s">
        <v>250</v>
      </c>
      <c r="D7" s="20" t="n">
        <v>0</v>
      </c>
      <c r="E7" s="11" t="s">
        <v>251</v>
      </c>
      <c r="F7" s="19" t="s">
        <v>41</v>
      </c>
      <c r="G7" s="19" t="s">
        <v>471</v>
      </c>
      <c r="H7" s="19" t="s">
        <v>90</v>
      </c>
      <c r="I7" s="20" t="n">
        <v>0</v>
      </c>
      <c r="J7" s="19"/>
      <c r="K7" s="11" t="s">
        <v>252</v>
      </c>
    </row>
    <row r="8" customFormat="false" ht="23.25" hidden="false" customHeight="true" outlineLevel="0" collapsed="false">
      <c r="A8" s="18" t="n">
        <v>46789</v>
      </c>
      <c r="B8" s="11" t="s">
        <v>311</v>
      </c>
      <c r="C8" s="19" t="s">
        <v>250</v>
      </c>
      <c r="D8" s="20" t="n">
        <v>0</v>
      </c>
      <c r="E8" s="11" t="s">
        <v>312</v>
      </c>
      <c r="F8" s="19" t="s">
        <v>41</v>
      </c>
      <c r="G8" s="19" t="s">
        <v>472</v>
      </c>
      <c r="H8" s="19" t="s">
        <v>90</v>
      </c>
      <c r="I8" s="20" t="n">
        <v>0</v>
      </c>
      <c r="J8" s="19"/>
      <c r="K8" s="11" t="s">
        <v>313</v>
      </c>
    </row>
    <row r="9" customFormat="false" ht="23.25" hidden="false" customHeight="true" outlineLevel="0" collapsed="false">
      <c r="A9" s="18" t="n">
        <v>47153</v>
      </c>
      <c r="B9" s="11" t="s">
        <v>360</v>
      </c>
      <c r="C9" s="19" t="s">
        <v>250</v>
      </c>
      <c r="D9" s="20" t="n">
        <v>0</v>
      </c>
      <c r="E9" s="11" t="s">
        <v>361</v>
      </c>
      <c r="F9" s="19" t="s">
        <v>41</v>
      </c>
      <c r="G9" s="19" t="s">
        <v>473</v>
      </c>
      <c r="H9" s="19" t="s">
        <v>90</v>
      </c>
      <c r="I9" s="20" t="n">
        <v>0</v>
      </c>
      <c r="J9" s="19"/>
      <c r="K9" s="11" t="s">
        <v>362</v>
      </c>
    </row>
    <row r="11" customFormat="false" ht="15" hidden="false" customHeight="true" outlineLevel="0" collapsed="false">
      <c r="A11" s="37" t="s">
        <v>415</v>
      </c>
      <c r="D11" s="38" t="n">
        <f aca="false">SUM(D5:D9)</f>
        <v>560</v>
      </c>
      <c r="I11" s="38" t="n">
        <f aca="false">SUM(I5:I9)</f>
        <v>180</v>
      </c>
    </row>
  </sheetData>
  <autoFilter ref="A4:K9"/>
  <mergeCells count="2">
    <mergeCell ref="A1:K1"/>
    <mergeCell ref="A2:K2"/>
  </mergeCells>
  <conditionalFormatting sqref="H5:H9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45"/>
  </cols>
  <sheetData>
    <row r="1" customFormat="false" ht="19.5" hidden="false" customHeight="true" outlineLevel="0" collapsed="false">
      <c r="A1" s="2" t="s">
        <v>474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475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63</v>
      </c>
      <c r="D4" s="9" t="s">
        <v>64</v>
      </c>
      <c r="E4" s="9" t="s">
        <v>65</v>
      </c>
      <c r="F4" s="9" t="s">
        <v>67</v>
      </c>
      <c r="G4" s="9" t="s">
        <v>401</v>
      </c>
      <c r="H4" s="9" t="s">
        <v>70</v>
      </c>
      <c r="I4" s="9" t="s">
        <v>71</v>
      </c>
      <c r="J4" s="9" t="s">
        <v>402</v>
      </c>
      <c r="K4" s="9" t="s">
        <v>72</v>
      </c>
    </row>
    <row r="5" customFormat="false" ht="23.25" hidden="false" customHeight="true" outlineLevel="0" collapsed="false">
      <c r="A5" s="18" t="n">
        <v>46174</v>
      </c>
      <c r="B5" s="11" t="s">
        <v>123</v>
      </c>
      <c r="C5" s="19" t="s">
        <v>125</v>
      </c>
      <c r="D5" s="20" t="n">
        <v>15</v>
      </c>
      <c r="E5" s="11" t="s">
        <v>126</v>
      </c>
      <c r="F5" s="19" t="s">
        <v>31</v>
      </c>
      <c r="G5" s="19" t="s">
        <v>476</v>
      </c>
      <c r="H5" s="19" t="s">
        <v>79</v>
      </c>
      <c r="I5" s="20" t="n">
        <v>30</v>
      </c>
      <c r="J5" s="19" t="s">
        <v>84</v>
      </c>
      <c r="K5" s="11" t="s">
        <v>127</v>
      </c>
    </row>
    <row r="6" customFormat="false" ht="34.5" hidden="false" customHeight="true" outlineLevel="0" collapsed="false">
      <c r="A6" s="18" t="n">
        <v>46223</v>
      </c>
      <c r="B6" s="11" t="s">
        <v>163</v>
      </c>
      <c r="C6" s="19" t="s">
        <v>164</v>
      </c>
      <c r="D6" s="20" t="n">
        <v>350</v>
      </c>
      <c r="E6" s="11" t="s">
        <v>165</v>
      </c>
      <c r="F6" s="19" t="s">
        <v>29</v>
      </c>
      <c r="G6" s="19" t="s">
        <v>477</v>
      </c>
      <c r="H6" s="19" t="s">
        <v>133</v>
      </c>
      <c r="I6" s="20" t="n">
        <v>180</v>
      </c>
      <c r="J6" s="19" t="s">
        <v>138</v>
      </c>
      <c r="K6" s="11" t="s">
        <v>166</v>
      </c>
    </row>
    <row r="7" customFormat="false" ht="23.25" hidden="false" customHeight="true" outlineLevel="0" collapsed="false">
      <c r="A7" s="18" t="n">
        <v>46223</v>
      </c>
      <c r="B7" s="11" t="s">
        <v>167</v>
      </c>
      <c r="C7" s="19" t="s">
        <v>156</v>
      </c>
      <c r="D7" s="20" t="n">
        <v>280</v>
      </c>
      <c r="E7" s="11" t="s">
        <v>168</v>
      </c>
      <c r="F7" s="19" t="s">
        <v>31</v>
      </c>
      <c r="G7" s="19" t="s">
        <v>478</v>
      </c>
      <c r="H7" s="19" t="s">
        <v>79</v>
      </c>
      <c r="I7" s="20" t="n">
        <v>140</v>
      </c>
      <c r="J7" s="19" t="s">
        <v>78</v>
      </c>
      <c r="K7" s="11" t="s">
        <v>169</v>
      </c>
    </row>
    <row r="8" customFormat="false" ht="23.25" hidden="false" customHeight="true" outlineLevel="0" collapsed="false">
      <c r="A8" s="18" t="n">
        <v>46223</v>
      </c>
      <c r="B8" s="11" t="s">
        <v>170</v>
      </c>
      <c r="C8" s="19" t="s">
        <v>171</v>
      </c>
      <c r="D8" s="20" t="n">
        <v>25</v>
      </c>
      <c r="E8" s="11" t="s">
        <v>172</v>
      </c>
      <c r="F8" s="19" t="s">
        <v>31</v>
      </c>
      <c r="G8" s="19" t="s">
        <v>478</v>
      </c>
      <c r="H8" s="19" t="s">
        <v>85</v>
      </c>
      <c r="I8" s="20" t="n">
        <v>75</v>
      </c>
      <c r="J8" s="19" t="s">
        <v>84</v>
      </c>
      <c r="K8" s="11" t="s">
        <v>173</v>
      </c>
    </row>
    <row r="9" customFormat="false" ht="23.25" hidden="false" customHeight="true" outlineLevel="0" collapsed="false">
      <c r="A9" s="18" t="n">
        <v>46949</v>
      </c>
      <c r="B9" s="11" t="s">
        <v>333</v>
      </c>
      <c r="C9" s="19" t="s">
        <v>156</v>
      </c>
      <c r="D9" s="20" t="n">
        <v>180</v>
      </c>
      <c r="E9" s="11" t="s">
        <v>335</v>
      </c>
      <c r="F9" s="19" t="s">
        <v>41</v>
      </c>
      <c r="G9" s="19" t="s">
        <v>479</v>
      </c>
      <c r="H9" s="19" t="s">
        <v>85</v>
      </c>
      <c r="I9" s="20" t="n">
        <v>0</v>
      </c>
      <c r="J9" s="19" t="s">
        <v>78</v>
      </c>
      <c r="K9" s="11" t="s">
        <v>336</v>
      </c>
    </row>
    <row r="11" customFormat="false" ht="15" hidden="false" customHeight="true" outlineLevel="0" collapsed="false">
      <c r="A11" s="37" t="s">
        <v>415</v>
      </c>
      <c r="D11" s="38" t="n">
        <f aca="false">SUM(D5:D9)</f>
        <v>850</v>
      </c>
      <c r="I11" s="38" t="n">
        <f aca="false">SUM(I5:I9)</f>
        <v>425</v>
      </c>
    </row>
  </sheetData>
  <autoFilter ref="A4:K9"/>
  <mergeCells count="2">
    <mergeCell ref="A1:K1"/>
    <mergeCell ref="A2:K2"/>
  </mergeCells>
  <conditionalFormatting sqref="H5:H9">
    <cfRule type="expression" priority="2" aboveAverage="0" equalAverage="0" bottom="0" percent="0" rank="0" text="" dxfId="6">
      <formula>LEFT(H5,1)="1"</formula>
    </cfRule>
    <cfRule type="expression" priority="3" aboveAverage="0" equalAverage="0" bottom="0" percent="0" rank="0" text="" dxfId="8">
      <formula>LEFT(H5,1)="5"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60"/>
  </cols>
  <sheetData>
    <row r="1" customFormat="false" ht="19.5" hidden="false" customHeight="true" outlineLevel="0" collapsed="false">
      <c r="A1" s="2" t="s">
        <v>480</v>
      </c>
      <c r="B1" s="2"/>
      <c r="C1" s="2"/>
      <c r="D1" s="2"/>
      <c r="E1" s="2"/>
    </row>
    <row r="2" customFormat="false" ht="15" hidden="false" customHeight="true" outlineLevel="0" collapsed="false">
      <c r="A2" s="3" t="s">
        <v>481</v>
      </c>
      <c r="B2" s="3"/>
      <c r="C2" s="3"/>
      <c r="D2" s="3"/>
      <c r="E2" s="3"/>
    </row>
    <row r="4" customFormat="false" ht="15" hidden="false" customHeight="true" outlineLevel="0" collapsed="false">
      <c r="A4" s="9" t="s">
        <v>59</v>
      </c>
      <c r="B4" s="9" t="s">
        <v>482</v>
      </c>
      <c r="C4" s="9" t="s">
        <v>483</v>
      </c>
      <c r="D4" s="9" t="s">
        <v>484</v>
      </c>
      <c r="E4" s="9" t="s">
        <v>485</v>
      </c>
    </row>
    <row r="5" customFormat="false" ht="23.25" hidden="false" customHeight="true" outlineLevel="0" collapsed="false">
      <c r="A5" s="18" t="n">
        <v>46164</v>
      </c>
      <c r="B5" s="11" t="s">
        <v>117</v>
      </c>
      <c r="C5" s="11" t="s">
        <v>486</v>
      </c>
      <c r="D5" s="19" t="s">
        <v>487</v>
      </c>
      <c r="E5" s="11" t="s">
        <v>488</v>
      </c>
    </row>
    <row r="6" customFormat="false" ht="23.25" hidden="false" customHeight="true" outlineLevel="0" collapsed="false">
      <c r="A6" s="18" t="n">
        <v>46184</v>
      </c>
      <c r="B6" s="11" t="s">
        <v>129</v>
      </c>
      <c r="C6" s="11" t="s">
        <v>489</v>
      </c>
      <c r="D6" s="19" t="s">
        <v>490</v>
      </c>
      <c r="E6" s="11" t="s">
        <v>491</v>
      </c>
    </row>
    <row r="7" customFormat="false" ht="23.25" hidden="false" customHeight="true" outlineLevel="0" collapsed="false">
      <c r="A7" s="18" t="n">
        <v>46222</v>
      </c>
      <c r="B7" s="11" t="s">
        <v>492</v>
      </c>
      <c r="C7" s="11" t="s">
        <v>493</v>
      </c>
      <c r="D7" s="19" t="s">
        <v>494</v>
      </c>
      <c r="E7" s="11" t="s">
        <v>495</v>
      </c>
    </row>
    <row r="8" customFormat="false" ht="23.25" hidden="false" customHeight="true" outlineLevel="0" collapsed="false">
      <c r="A8" s="18" t="n">
        <v>46275</v>
      </c>
      <c r="B8" s="11" t="s">
        <v>496</v>
      </c>
      <c r="C8" s="11" t="s">
        <v>497</v>
      </c>
      <c r="D8" s="19" t="s">
        <v>498</v>
      </c>
      <c r="E8" s="11" t="s">
        <v>499</v>
      </c>
    </row>
    <row r="9" customFormat="false" ht="23.25" hidden="false" customHeight="true" outlineLevel="0" collapsed="false">
      <c r="A9" s="18" t="n">
        <v>46296</v>
      </c>
      <c r="B9" s="11" t="s">
        <v>500</v>
      </c>
      <c r="C9" s="11" t="s">
        <v>501</v>
      </c>
      <c r="D9" s="19" t="s">
        <v>502</v>
      </c>
      <c r="E9" s="11" t="s">
        <v>503</v>
      </c>
    </row>
    <row r="10" customFormat="false" ht="15" hidden="false" customHeight="true" outlineLevel="0" collapsed="false">
      <c r="A10" s="18" t="n">
        <v>46425</v>
      </c>
      <c r="B10" s="11" t="s">
        <v>504</v>
      </c>
      <c r="C10" s="11" t="s">
        <v>505</v>
      </c>
      <c r="D10" s="19" t="s">
        <v>506</v>
      </c>
      <c r="E10" s="11" t="s">
        <v>507</v>
      </c>
    </row>
    <row r="11" customFormat="false" ht="23.25" hidden="false" customHeight="true" outlineLevel="0" collapsed="false">
      <c r="A11" s="18" t="n">
        <v>46492</v>
      </c>
      <c r="B11" s="11" t="s">
        <v>262</v>
      </c>
      <c r="C11" s="11" t="s">
        <v>508</v>
      </c>
      <c r="D11" s="19" t="s">
        <v>509</v>
      </c>
      <c r="E11" s="11" t="s">
        <v>510</v>
      </c>
    </row>
    <row r="12" customFormat="false" ht="15" hidden="false" customHeight="true" outlineLevel="0" collapsed="false">
      <c r="A12" s="18" t="n">
        <v>46539</v>
      </c>
      <c r="B12" s="11" t="s">
        <v>273</v>
      </c>
      <c r="C12" s="11" t="s">
        <v>511</v>
      </c>
      <c r="D12" s="19" t="s">
        <v>512</v>
      </c>
      <c r="E12" s="11" t="s">
        <v>513</v>
      </c>
    </row>
    <row r="13" customFormat="false" ht="15" hidden="false" customHeight="true" outlineLevel="0" collapsed="false">
      <c r="A13" s="18" t="n">
        <v>46569</v>
      </c>
      <c r="B13" s="11" t="s">
        <v>514</v>
      </c>
      <c r="C13" s="11" t="s">
        <v>515</v>
      </c>
      <c r="D13" s="19" t="s">
        <v>502</v>
      </c>
      <c r="E13" s="11" t="s">
        <v>516</v>
      </c>
    </row>
    <row r="14" customFormat="false" ht="23.25" hidden="false" customHeight="true" outlineLevel="0" collapsed="false">
      <c r="A14" s="18" t="n">
        <v>46722</v>
      </c>
      <c r="B14" s="11" t="s">
        <v>517</v>
      </c>
      <c r="C14" s="11" t="s">
        <v>518</v>
      </c>
      <c r="D14" s="19" t="s">
        <v>519</v>
      </c>
      <c r="E14" s="11" t="s">
        <v>520</v>
      </c>
    </row>
    <row r="15" customFormat="false" ht="15" hidden="false" customHeight="true" outlineLevel="0" collapsed="false">
      <c r="A15" s="18" t="n">
        <v>46789</v>
      </c>
      <c r="B15" s="11" t="s">
        <v>311</v>
      </c>
      <c r="C15" s="11" t="s">
        <v>505</v>
      </c>
      <c r="D15" s="19" t="s">
        <v>521</v>
      </c>
      <c r="E15" s="11" t="s">
        <v>522</v>
      </c>
    </row>
    <row r="16" customFormat="false" ht="23.25" hidden="false" customHeight="true" outlineLevel="0" collapsed="false">
      <c r="A16" s="18" t="n">
        <v>46813</v>
      </c>
      <c r="B16" s="11" t="s">
        <v>523</v>
      </c>
      <c r="C16" s="11" t="s">
        <v>524</v>
      </c>
      <c r="D16" s="19" t="s">
        <v>525</v>
      </c>
      <c r="E16" s="11" t="s">
        <v>526</v>
      </c>
    </row>
    <row r="17" customFormat="false" ht="23.25" hidden="false" customHeight="true" outlineLevel="0" collapsed="false">
      <c r="A17" s="18" t="n">
        <v>46905</v>
      </c>
      <c r="B17" s="11" t="s">
        <v>527</v>
      </c>
      <c r="C17" s="11" t="s">
        <v>528</v>
      </c>
      <c r="D17" s="19" t="s">
        <v>490</v>
      </c>
      <c r="E17" s="11" t="s">
        <v>529</v>
      </c>
    </row>
    <row r="18" customFormat="false" ht="23.25" hidden="false" customHeight="true" outlineLevel="0" collapsed="false">
      <c r="A18" s="18" t="n">
        <v>46948</v>
      </c>
      <c r="B18" s="11" t="s">
        <v>530</v>
      </c>
      <c r="C18" s="11" t="s">
        <v>531</v>
      </c>
      <c r="D18" s="19" t="s">
        <v>532</v>
      </c>
      <c r="E18" s="11" t="s">
        <v>533</v>
      </c>
    </row>
    <row r="19" customFormat="false" ht="23.25" hidden="false" customHeight="true" outlineLevel="0" collapsed="false">
      <c r="A19" s="18" t="n">
        <v>46970</v>
      </c>
      <c r="B19" s="11" t="s">
        <v>534</v>
      </c>
      <c r="C19" s="11" t="s">
        <v>535</v>
      </c>
      <c r="D19" s="19" t="s">
        <v>502</v>
      </c>
      <c r="E19" s="11" t="s">
        <v>536</v>
      </c>
    </row>
    <row r="20" customFormat="false" ht="23.25" hidden="false" customHeight="true" outlineLevel="0" collapsed="false">
      <c r="A20" s="18" t="n">
        <v>47133</v>
      </c>
      <c r="B20" s="11" t="s">
        <v>537</v>
      </c>
      <c r="C20" s="11" t="s">
        <v>538</v>
      </c>
      <c r="D20" s="19" t="s">
        <v>502</v>
      </c>
      <c r="E20" s="11" t="s">
        <v>539</v>
      </c>
    </row>
    <row r="21" customFormat="false" ht="15" hidden="false" customHeight="true" outlineLevel="0" collapsed="false">
      <c r="A21" s="18" t="n">
        <v>47153</v>
      </c>
      <c r="B21" s="11" t="s">
        <v>360</v>
      </c>
      <c r="C21" s="11" t="s">
        <v>505</v>
      </c>
      <c r="D21" s="19" t="s">
        <v>521</v>
      </c>
      <c r="E21" s="11" t="s">
        <v>540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45"/>
    <col collapsed="false" customWidth="true" hidden="false" outlineLevel="0" max="7" min="7" style="1" width="13"/>
  </cols>
  <sheetData>
    <row r="1" customFormat="false" ht="19.5" hidden="false" customHeight="true" outlineLevel="0" collapsed="false">
      <c r="A1" s="2" t="s">
        <v>541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542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9" t="s">
        <v>59</v>
      </c>
      <c r="B4" s="9" t="s">
        <v>374</v>
      </c>
      <c r="C4" s="9" t="s">
        <v>543</v>
      </c>
      <c r="D4" s="9" t="s">
        <v>544</v>
      </c>
      <c r="E4" s="9" t="s">
        <v>545</v>
      </c>
      <c r="F4" s="9" t="s">
        <v>546</v>
      </c>
      <c r="G4" s="9" t="s">
        <v>547</v>
      </c>
    </row>
    <row r="5" customFormat="false" ht="15" hidden="false" customHeight="true" outlineLevel="0" collapsed="false">
      <c r="A5" s="18" t="n">
        <v>46186</v>
      </c>
      <c r="B5" s="11" t="s">
        <v>548</v>
      </c>
      <c r="C5" s="11" t="s">
        <v>549</v>
      </c>
      <c r="D5" s="20" t="n">
        <v>40</v>
      </c>
      <c r="E5" s="20" t="n">
        <v>75</v>
      </c>
      <c r="F5" s="11" t="s">
        <v>550</v>
      </c>
      <c r="G5" s="39" t="n">
        <f aca="false">E5/D5</f>
        <v>1.875</v>
      </c>
    </row>
    <row r="6" customFormat="false" ht="23.25" hidden="false" customHeight="true" outlineLevel="0" collapsed="false">
      <c r="A6" s="18" t="n">
        <v>46188</v>
      </c>
      <c r="B6" s="11" t="s">
        <v>551</v>
      </c>
      <c r="C6" s="11" t="s">
        <v>552</v>
      </c>
      <c r="D6" s="20" t="n">
        <v>50</v>
      </c>
      <c r="E6" s="20" t="n">
        <v>110</v>
      </c>
      <c r="F6" s="11" t="s">
        <v>553</v>
      </c>
      <c r="G6" s="39" t="n">
        <f aca="false">E6/D6</f>
        <v>2.2</v>
      </c>
    </row>
    <row r="7" customFormat="false" ht="15" hidden="false" customHeight="true" outlineLevel="0" collapsed="false">
      <c r="A7" s="18" t="n">
        <v>46223</v>
      </c>
      <c r="B7" s="11" t="s">
        <v>554</v>
      </c>
      <c r="C7" s="11" t="s">
        <v>555</v>
      </c>
      <c r="D7" s="20" t="n">
        <v>350</v>
      </c>
      <c r="E7" s="20" t="n">
        <v>550</v>
      </c>
      <c r="F7" s="11" t="s">
        <v>556</v>
      </c>
      <c r="G7" s="39" t="n">
        <f aca="false">E7/D7</f>
        <v>1.57142857142857</v>
      </c>
    </row>
    <row r="8" customFormat="false" ht="23.25" hidden="false" customHeight="true" outlineLevel="0" collapsed="false">
      <c r="A8" s="18" t="n">
        <v>46310</v>
      </c>
      <c r="B8" s="11" t="s">
        <v>557</v>
      </c>
      <c r="C8" s="11" t="s">
        <v>558</v>
      </c>
      <c r="D8" s="20" t="n">
        <v>60</v>
      </c>
      <c r="E8" s="20" t="n">
        <v>180</v>
      </c>
      <c r="F8" s="11" t="s">
        <v>559</v>
      </c>
      <c r="G8" s="39" t="n">
        <f aca="false">E8/D8</f>
        <v>3</v>
      </c>
    </row>
    <row r="9" customFormat="false" ht="15" hidden="false" customHeight="true" outlineLevel="0" collapsed="false">
      <c r="A9" s="18" t="n">
        <v>46361</v>
      </c>
      <c r="B9" s="11" t="s">
        <v>560</v>
      </c>
      <c r="C9" s="11" t="s">
        <v>561</v>
      </c>
      <c r="D9" s="20" t="n">
        <v>180</v>
      </c>
      <c r="E9" s="20" t="n">
        <v>320</v>
      </c>
      <c r="F9" s="11" t="s">
        <v>562</v>
      </c>
      <c r="G9" s="39" t="n">
        <f aca="false">E9/D9</f>
        <v>1.77777777777778</v>
      </c>
    </row>
    <row r="10" customFormat="false" ht="23.25" hidden="false" customHeight="true" outlineLevel="0" collapsed="false">
      <c r="A10" s="18" t="n">
        <v>46402</v>
      </c>
      <c r="B10" s="11" t="s">
        <v>563</v>
      </c>
      <c r="C10" s="11" t="s">
        <v>564</v>
      </c>
      <c r="D10" s="20" t="n">
        <v>55</v>
      </c>
      <c r="E10" s="20" t="n">
        <v>160</v>
      </c>
      <c r="F10" s="11" t="s">
        <v>565</v>
      </c>
      <c r="G10" s="39" t="n">
        <f aca="false">E10/D10</f>
        <v>2.90909090909091</v>
      </c>
    </row>
    <row r="11" customFormat="false" ht="15" hidden="false" customHeight="true" outlineLevel="0" collapsed="false">
      <c r="A11" s="18" t="n">
        <v>46569</v>
      </c>
      <c r="B11" s="11" t="s">
        <v>566</v>
      </c>
      <c r="C11" s="11" t="s">
        <v>567</v>
      </c>
      <c r="D11" s="20" t="n">
        <v>100</v>
      </c>
      <c r="E11" s="20" t="n">
        <v>200</v>
      </c>
      <c r="F11" s="11" t="s">
        <v>568</v>
      </c>
      <c r="G11" s="39" t="n">
        <f aca="false">E11/D11</f>
        <v>2</v>
      </c>
    </row>
    <row r="12" customFormat="false" ht="23.25" hidden="false" customHeight="true" outlineLevel="0" collapsed="false">
      <c r="A12" s="18" t="n">
        <v>46767</v>
      </c>
      <c r="B12" s="11" t="s">
        <v>569</v>
      </c>
      <c r="C12" s="11" t="s">
        <v>558</v>
      </c>
      <c r="D12" s="20" t="n">
        <v>55</v>
      </c>
      <c r="E12" s="20" t="n">
        <v>150</v>
      </c>
      <c r="F12" s="11" t="s">
        <v>570</v>
      </c>
      <c r="G12" s="39" t="n">
        <f aca="false">E12/D12</f>
        <v>2.72727272727273</v>
      </c>
    </row>
    <row r="13" customFormat="false" ht="23.25" hidden="false" customHeight="true" outlineLevel="0" collapsed="false">
      <c r="A13" s="18" t="n">
        <v>46980</v>
      </c>
      <c r="B13" s="11" t="s">
        <v>571</v>
      </c>
      <c r="C13" s="11" t="s">
        <v>572</v>
      </c>
      <c r="D13" s="20" t="n">
        <v>100</v>
      </c>
      <c r="E13" s="20" t="n">
        <v>250</v>
      </c>
      <c r="F13" s="11" t="s">
        <v>573</v>
      </c>
      <c r="G13" s="39" t="n">
        <f aca="false">E13/D13</f>
        <v>2.5</v>
      </c>
    </row>
    <row r="14" customFormat="false" ht="23.25" hidden="false" customHeight="true" outlineLevel="0" collapsed="false">
      <c r="A14" s="18" t="n">
        <v>47011</v>
      </c>
      <c r="B14" s="11" t="s">
        <v>574</v>
      </c>
      <c r="C14" s="11" t="s">
        <v>575</v>
      </c>
      <c r="D14" s="20" t="n">
        <v>180</v>
      </c>
      <c r="E14" s="20" t="n">
        <v>400</v>
      </c>
      <c r="F14" s="11" t="s">
        <v>576</v>
      </c>
      <c r="G14" s="39" t="n">
        <f aca="false">E14/D14</f>
        <v>2.22222222222222</v>
      </c>
    </row>
    <row r="15" customFormat="false" ht="23.25" hidden="false" customHeight="true" outlineLevel="0" collapsed="false">
      <c r="A15" s="18" t="n">
        <v>47133</v>
      </c>
      <c r="B15" s="11" t="s">
        <v>577</v>
      </c>
      <c r="C15" s="11" t="s">
        <v>578</v>
      </c>
      <c r="D15" s="20" t="n">
        <v>80</v>
      </c>
      <c r="E15" s="20" t="n">
        <v>250</v>
      </c>
      <c r="F15" s="11" t="s">
        <v>579</v>
      </c>
      <c r="G15" s="39" t="n">
        <f aca="false">E15/D15</f>
        <v>3.125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580</v>
      </c>
      <c r="B1" s="2"/>
      <c r="C1" s="2"/>
      <c r="D1" s="2"/>
      <c r="E1" s="2"/>
    </row>
    <row r="2" customFormat="false" ht="15" hidden="false" customHeight="true" outlineLevel="0" collapsed="false">
      <c r="A2" s="3" t="s">
        <v>581</v>
      </c>
      <c r="B2" s="3"/>
      <c r="C2" s="3"/>
      <c r="D2" s="3"/>
      <c r="E2" s="3"/>
    </row>
    <row r="4" customFormat="false" ht="26.25" hidden="false" customHeight="true" outlineLevel="0" collapsed="false">
      <c r="A4" s="9" t="s">
        <v>60</v>
      </c>
      <c r="B4" s="9" t="s">
        <v>582</v>
      </c>
      <c r="C4" s="9" t="s">
        <v>583</v>
      </c>
      <c r="D4" s="9" t="s">
        <v>584</v>
      </c>
      <c r="E4" s="9" t="s">
        <v>585</v>
      </c>
    </row>
    <row r="5" customFormat="false" ht="23.25" hidden="false" customHeight="true" outlineLevel="0" collapsed="false">
      <c r="A5" s="11" t="s">
        <v>143</v>
      </c>
      <c r="B5" s="11" t="s">
        <v>586</v>
      </c>
      <c r="C5" s="11" t="s">
        <v>587</v>
      </c>
      <c r="D5" s="11" t="s">
        <v>588</v>
      </c>
      <c r="E5" s="11" t="s">
        <v>589</v>
      </c>
    </row>
    <row r="6" customFormat="false" ht="15" hidden="false" customHeight="true" outlineLevel="0" collapsed="false">
      <c r="A6" s="11" t="s">
        <v>143</v>
      </c>
      <c r="B6" s="11" t="s">
        <v>590</v>
      </c>
      <c r="C6" s="11" t="s">
        <v>591</v>
      </c>
      <c r="D6" s="11" t="s">
        <v>592</v>
      </c>
      <c r="E6" s="11" t="s">
        <v>593</v>
      </c>
    </row>
    <row r="7" customFormat="false" ht="23.25" hidden="false" customHeight="true" outlineLevel="0" collapsed="false">
      <c r="A7" s="11" t="s">
        <v>73</v>
      </c>
      <c r="B7" s="11" t="s">
        <v>594</v>
      </c>
      <c r="C7" s="11" t="s">
        <v>595</v>
      </c>
      <c r="D7" s="11" t="s">
        <v>596</v>
      </c>
      <c r="E7" s="11" t="s">
        <v>597</v>
      </c>
    </row>
    <row r="8" customFormat="false" ht="23.25" hidden="false" customHeight="true" outlineLevel="0" collapsed="false">
      <c r="A8" s="11" t="s">
        <v>73</v>
      </c>
      <c r="B8" s="11" t="s">
        <v>598</v>
      </c>
      <c r="C8" s="11" t="s">
        <v>599</v>
      </c>
      <c r="D8" s="11" t="s">
        <v>600</v>
      </c>
      <c r="E8" s="11" t="s">
        <v>601</v>
      </c>
    </row>
    <row r="9" customFormat="false" ht="23.25" hidden="false" customHeight="true" outlineLevel="0" collapsed="false">
      <c r="A9" s="11" t="s">
        <v>602</v>
      </c>
      <c r="B9" s="11" t="s">
        <v>603</v>
      </c>
      <c r="C9" s="11" t="s">
        <v>604</v>
      </c>
      <c r="D9" s="11" t="s">
        <v>605</v>
      </c>
      <c r="E9" s="11" t="s">
        <v>606</v>
      </c>
    </row>
    <row r="10" customFormat="false" ht="23.25" hidden="false" customHeight="true" outlineLevel="0" collapsed="false">
      <c r="A10" s="11" t="s">
        <v>602</v>
      </c>
      <c r="B10" s="11" t="s">
        <v>607</v>
      </c>
      <c r="C10" s="11" t="s">
        <v>608</v>
      </c>
      <c r="D10" s="11" t="s">
        <v>609</v>
      </c>
      <c r="E10" s="11" t="s">
        <v>610</v>
      </c>
    </row>
    <row r="11" customFormat="false" ht="23.25" hidden="false" customHeight="true" outlineLevel="0" collapsed="false">
      <c r="A11" s="11" t="s">
        <v>111</v>
      </c>
      <c r="B11" s="11" t="s">
        <v>611</v>
      </c>
      <c r="C11" s="11" t="s">
        <v>612</v>
      </c>
      <c r="D11" s="11" t="s">
        <v>613</v>
      </c>
      <c r="E11" s="11" t="s">
        <v>614</v>
      </c>
    </row>
    <row r="12" customFormat="false" ht="23.25" hidden="false" customHeight="true" outlineLevel="0" collapsed="false">
      <c r="A12" s="11" t="s">
        <v>615</v>
      </c>
      <c r="B12" s="11" t="s">
        <v>616</v>
      </c>
      <c r="C12" s="11" t="s">
        <v>612</v>
      </c>
      <c r="D12" s="11" t="s">
        <v>617</v>
      </c>
      <c r="E12" s="11" t="s">
        <v>618</v>
      </c>
    </row>
    <row r="13" customFormat="false" ht="15" hidden="false" customHeight="true" outlineLevel="0" collapsed="false">
      <c r="A13" s="11" t="s">
        <v>101</v>
      </c>
      <c r="B13" s="11" t="s">
        <v>619</v>
      </c>
      <c r="C13" s="11" t="s">
        <v>620</v>
      </c>
      <c r="D13" s="11" t="s">
        <v>621</v>
      </c>
      <c r="E13" s="11" t="s">
        <v>622</v>
      </c>
    </row>
    <row r="14" customFormat="false" ht="23.25" hidden="false" customHeight="true" outlineLevel="0" collapsed="false">
      <c r="A14" s="11" t="s">
        <v>153</v>
      </c>
      <c r="B14" s="11" t="s">
        <v>623</v>
      </c>
      <c r="C14" s="11" t="s">
        <v>624</v>
      </c>
      <c r="D14" s="11" t="s">
        <v>625</v>
      </c>
      <c r="E14" s="11" t="s">
        <v>626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4"/>
  </cols>
  <sheetData>
    <row r="1" customFormat="false" ht="19.5" hidden="false" customHeight="true" outlineLevel="0" collapsed="false">
      <c r="A1" s="2" t="s">
        <v>627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628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9" t="s">
        <v>47</v>
      </c>
      <c r="B4" s="9" t="s">
        <v>70</v>
      </c>
      <c r="C4" s="9" t="s">
        <v>68</v>
      </c>
      <c r="D4" s="9" t="s">
        <v>60</v>
      </c>
      <c r="E4" s="9" t="s">
        <v>374</v>
      </c>
      <c r="F4" s="9" t="s">
        <v>380</v>
      </c>
      <c r="G4" s="9" t="s">
        <v>71</v>
      </c>
      <c r="H4" s="9" t="s">
        <v>629</v>
      </c>
    </row>
    <row r="5" customFormat="false" ht="15" hidden="false" customHeight="true" outlineLevel="0" collapsed="false">
      <c r="A5" s="19" t="n">
        <v>1</v>
      </c>
      <c r="B5" s="19" t="s">
        <v>133</v>
      </c>
      <c r="C5" s="18" t="n">
        <v>46127</v>
      </c>
      <c r="D5" s="19" t="s">
        <v>73</v>
      </c>
      <c r="E5" s="11" t="s">
        <v>135</v>
      </c>
      <c r="F5" s="19" t="s">
        <v>29</v>
      </c>
      <c r="G5" s="20" t="n">
        <v>120</v>
      </c>
      <c r="H5" s="20" t="n">
        <f aca="false">SUM($G$5:G5)</f>
        <v>120</v>
      </c>
    </row>
    <row r="6" customFormat="false" ht="15" hidden="false" customHeight="true" outlineLevel="0" collapsed="false">
      <c r="A6" s="19" t="n">
        <v>2</v>
      </c>
      <c r="B6" s="19" t="s">
        <v>133</v>
      </c>
      <c r="C6" s="18" t="n">
        <v>46127</v>
      </c>
      <c r="D6" s="19" t="s">
        <v>73</v>
      </c>
      <c r="E6" s="11" t="s">
        <v>140</v>
      </c>
      <c r="F6" s="19" t="s">
        <v>29</v>
      </c>
      <c r="G6" s="20" t="n">
        <v>75</v>
      </c>
      <c r="H6" s="20" t="n">
        <f aca="false">SUM($G$5:G6)</f>
        <v>195</v>
      </c>
    </row>
    <row r="7" customFormat="false" ht="23.25" hidden="false" customHeight="true" outlineLevel="0" collapsed="false">
      <c r="A7" s="19" t="n">
        <v>3</v>
      </c>
      <c r="B7" s="19" t="s">
        <v>133</v>
      </c>
      <c r="C7" s="18" t="n">
        <v>46143</v>
      </c>
      <c r="D7" s="19" t="s">
        <v>143</v>
      </c>
      <c r="E7" s="11" t="s">
        <v>144</v>
      </c>
      <c r="F7" s="19" t="s">
        <v>29</v>
      </c>
      <c r="G7" s="20" t="n">
        <v>100</v>
      </c>
      <c r="H7" s="20" t="n">
        <f aca="false">SUM($G$5:G7)</f>
        <v>295</v>
      </c>
    </row>
    <row r="8" customFormat="false" ht="15" hidden="false" customHeight="true" outlineLevel="0" collapsed="false">
      <c r="A8" s="19" t="n">
        <v>4</v>
      </c>
      <c r="B8" s="19" t="s">
        <v>133</v>
      </c>
      <c r="C8" s="18" t="n">
        <v>46143</v>
      </c>
      <c r="D8" s="19" t="s">
        <v>122</v>
      </c>
      <c r="E8" s="11" t="s">
        <v>163</v>
      </c>
      <c r="F8" s="19" t="s">
        <v>29</v>
      </c>
      <c r="G8" s="20" t="n">
        <v>180</v>
      </c>
      <c r="H8" s="20" t="n">
        <f aca="false">SUM($G$5:G8)</f>
        <v>475</v>
      </c>
    </row>
    <row r="9" customFormat="false" ht="15" hidden="false" customHeight="true" outlineLevel="0" collapsed="false">
      <c r="A9" s="19" t="n">
        <v>5</v>
      </c>
      <c r="B9" s="19" t="s">
        <v>133</v>
      </c>
      <c r="C9" s="18" t="n">
        <v>46218</v>
      </c>
      <c r="D9" s="19" t="s">
        <v>203</v>
      </c>
      <c r="E9" s="11" t="s">
        <v>204</v>
      </c>
      <c r="F9" s="19" t="s">
        <v>29</v>
      </c>
      <c r="G9" s="20" t="n">
        <v>180</v>
      </c>
      <c r="H9" s="20" t="n">
        <f aca="false">SUM($G$5:G9)</f>
        <v>655</v>
      </c>
    </row>
    <row r="10" customFormat="false" ht="23.25" hidden="false" customHeight="true" outlineLevel="0" collapsed="false">
      <c r="A10" s="19" t="n">
        <v>6</v>
      </c>
      <c r="B10" s="19" t="s">
        <v>133</v>
      </c>
      <c r="C10" s="18" t="n">
        <v>46249</v>
      </c>
      <c r="D10" s="19" t="s">
        <v>143</v>
      </c>
      <c r="E10" s="11" t="s">
        <v>211</v>
      </c>
      <c r="F10" s="19" t="s">
        <v>29</v>
      </c>
      <c r="G10" s="20" t="n">
        <v>120</v>
      </c>
      <c r="H10" s="20" t="n">
        <f aca="false">SUM($G$5:G10)</f>
        <v>775</v>
      </c>
    </row>
    <row r="11" customFormat="false" ht="23.25" hidden="false" customHeight="true" outlineLevel="0" collapsed="false">
      <c r="A11" s="19" t="n">
        <v>7</v>
      </c>
      <c r="B11" s="19" t="s">
        <v>133</v>
      </c>
      <c r="C11" s="18" t="n">
        <v>46266</v>
      </c>
      <c r="D11" s="19" t="s">
        <v>73</v>
      </c>
      <c r="E11" s="11" t="s">
        <v>221</v>
      </c>
      <c r="F11" s="19" t="s">
        <v>29</v>
      </c>
      <c r="G11" s="20" t="n">
        <v>75</v>
      </c>
      <c r="H11" s="20" t="n">
        <f aca="false">SUM($G$5:G11)</f>
        <v>850</v>
      </c>
    </row>
    <row r="12" customFormat="false" ht="15" hidden="false" customHeight="true" outlineLevel="0" collapsed="false">
      <c r="A12" s="19" t="n">
        <v>8</v>
      </c>
      <c r="B12" s="19" t="s">
        <v>133</v>
      </c>
      <c r="C12" s="18" t="n">
        <v>46300</v>
      </c>
      <c r="D12" s="19" t="s">
        <v>233</v>
      </c>
      <c r="E12" s="11" t="s">
        <v>234</v>
      </c>
      <c r="F12" s="19" t="s">
        <v>29</v>
      </c>
      <c r="G12" s="20" t="n">
        <v>180</v>
      </c>
      <c r="H12" s="20" t="n">
        <f aca="false">SUM($G$5:G12)</f>
        <v>1030</v>
      </c>
    </row>
    <row r="13" customFormat="false" ht="23.25" hidden="false" customHeight="true" outlineLevel="0" collapsed="false">
      <c r="A13" s="19" t="n">
        <v>9</v>
      </c>
      <c r="B13" s="19" t="s">
        <v>133</v>
      </c>
      <c r="C13" s="18" t="n">
        <v>46341</v>
      </c>
      <c r="D13" s="19" t="s">
        <v>143</v>
      </c>
      <c r="E13" s="11" t="s">
        <v>240</v>
      </c>
      <c r="F13" s="19" t="s">
        <v>29</v>
      </c>
      <c r="G13" s="20" t="n">
        <v>165</v>
      </c>
      <c r="H13" s="20" t="n">
        <f aca="false">SUM($G$5:G13)</f>
        <v>1195</v>
      </c>
    </row>
    <row r="14" customFormat="false" ht="15" hidden="false" customHeight="true" outlineLevel="0" collapsed="false">
      <c r="A14" s="19" t="n">
        <v>10</v>
      </c>
      <c r="B14" s="19" t="s">
        <v>133</v>
      </c>
      <c r="C14" s="18" t="n">
        <v>46508</v>
      </c>
      <c r="D14" s="19" t="s">
        <v>111</v>
      </c>
      <c r="E14" s="11" t="s">
        <v>280</v>
      </c>
      <c r="F14" s="19" t="s">
        <v>29</v>
      </c>
      <c r="G14" s="20" t="n">
        <v>200</v>
      </c>
      <c r="H14" s="20" t="n">
        <f aca="false">SUM($G$5:G14)</f>
        <v>1395</v>
      </c>
    </row>
    <row r="15" customFormat="false" ht="15" hidden="false" customHeight="true" outlineLevel="0" collapsed="false">
      <c r="A15" s="19" t="n">
        <v>11</v>
      </c>
      <c r="B15" s="19" t="s">
        <v>133</v>
      </c>
      <c r="C15" s="18" t="n">
        <v>46553</v>
      </c>
      <c r="D15" s="19" t="s">
        <v>143</v>
      </c>
      <c r="E15" s="11" t="s">
        <v>289</v>
      </c>
      <c r="F15" s="19" t="s">
        <v>29</v>
      </c>
      <c r="G15" s="20" t="n">
        <v>110</v>
      </c>
      <c r="H15" s="20" t="n">
        <f aca="false">SUM($G$5:G15)</f>
        <v>1505</v>
      </c>
    </row>
    <row r="16" customFormat="false" ht="23.25" hidden="false" customHeight="true" outlineLevel="0" collapsed="false">
      <c r="A16" s="19" t="n">
        <v>12</v>
      </c>
      <c r="B16" s="19" t="s">
        <v>133</v>
      </c>
      <c r="C16" s="18" t="n">
        <v>46583</v>
      </c>
      <c r="D16" s="19" t="s">
        <v>143</v>
      </c>
      <c r="E16" s="11" t="s">
        <v>292</v>
      </c>
      <c r="F16" s="19" t="s">
        <v>29</v>
      </c>
      <c r="G16" s="20" t="n">
        <v>165</v>
      </c>
      <c r="H16" s="20" t="n">
        <f aca="false">SUM($G$5:G16)</f>
        <v>1670</v>
      </c>
    </row>
    <row r="17" customFormat="false" ht="23.25" hidden="false" customHeight="true" outlineLevel="0" collapsed="false">
      <c r="A17" s="19" t="n">
        <v>13</v>
      </c>
      <c r="B17" s="19" t="s">
        <v>133</v>
      </c>
      <c r="C17" s="18" t="n">
        <v>46706</v>
      </c>
      <c r="D17" s="19" t="s">
        <v>143</v>
      </c>
      <c r="E17" s="11" t="s">
        <v>306</v>
      </c>
      <c r="F17" s="19" t="s">
        <v>29</v>
      </c>
      <c r="G17" s="20" t="n">
        <v>165</v>
      </c>
      <c r="H17" s="20" t="n">
        <f aca="false">SUM($G$5:G17)</f>
        <v>1835</v>
      </c>
    </row>
    <row r="18" customFormat="false" ht="15" hidden="false" customHeight="true" outlineLevel="0" collapsed="false">
      <c r="A18" s="19" t="n">
        <v>14</v>
      </c>
      <c r="B18" s="19" t="s">
        <v>133</v>
      </c>
      <c r="C18" s="18" t="n">
        <v>46762</v>
      </c>
      <c r="D18" s="19" t="s">
        <v>101</v>
      </c>
      <c r="E18" s="11" t="s">
        <v>314</v>
      </c>
      <c r="F18" s="19" t="s">
        <v>29</v>
      </c>
      <c r="G18" s="20" t="n">
        <v>75</v>
      </c>
      <c r="H18" s="20" t="n">
        <f aca="false">SUM($G$5:G18)</f>
        <v>1910</v>
      </c>
    </row>
    <row r="19" customFormat="false" ht="23.25" hidden="false" customHeight="true" outlineLevel="0" collapsed="false">
      <c r="A19" s="19" t="n">
        <v>15</v>
      </c>
      <c r="B19" s="19" t="s">
        <v>133</v>
      </c>
      <c r="C19" s="18" t="n">
        <v>46919</v>
      </c>
      <c r="D19" s="19" t="s">
        <v>73</v>
      </c>
      <c r="E19" s="11" t="s">
        <v>337</v>
      </c>
      <c r="F19" s="19" t="s">
        <v>29</v>
      </c>
      <c r="G19" s="20" t="n">
        <v>150</v>
      </c>
      <c r="H19" s="20" t="n">
        <f aca="false">SUM($G$5:G19)</f>
        <v>2060</v>
      </c>
    </row>
    <row r="20" customFormat="false" ht="15" hidden="false" customHeight="true" outlineLevel="0" collapsed="false">
      <c r="A20" s="19" t="n">
        <v>16</v>
      </c>
      <c r="B20" s="19" t="s">
        <v>133</v>
      </c>
      <c r="C20" s="18" t="n">
        <v>46949</v>
      </c>
      <c r="D20" s="19" t="s">
        <v>203</v>
      </c>
      <c r="E20" s="11" t="s">
        <v>340</v>
      </c>
      <c r="F20" s="19" t="s">
        <v>29</v>
      </c>
      <c r="G20" s="20" t="n">
        <v>180</v>
      </c>
      <c r="H20" s="20" t="n">
        <f aca="false">SUM($G$5:G20)</f>
        <v>2240</v>
      </c>
    </row>
    <row r="21" customFormat="false" ht="23.25" hidden="false" customHeight="true" outlineLevel="0" collapsed="false">
      <c r="A21" s="19" t="n">
        <v>17</v>
      </c>
      <c r="B21" s="19" t="s">
        <v>133</v>
      </c>
      <c r="C21" s="18" t="n">
        <v>46980</v>
      </c>
      <c r="D21" s="19" t="s">
        <v>343</v>
      </c>
      <c r="E21" s="11" t="s">
        <v>344</v>
      </c>
      <c r="F21" s="19" t="s">
        <v>29</v>
      </c>
      <c r="G21" s="20" t="n">
        <v>160</v>
      </c>
      <c r="H21" s="20" t="n">
        <f aca="false">SUM($G$5:G21)</f>
        <v>2400</v>
      </c>
    </row>
    <row r="22" customFormat="false" ht="15" hidden="false" customHeight="true" outlineLevel="0" collapsed="false">
      <c r="A22" s="19" t="n">
        <v>18</v>
      </c>
      <c r="B22" s="19" t="s">
        <v>133</v>
      </c>
      <c r="C22" s="18" t="n">
        <v>47072</v>
      </c>
      <c r="D22" s="19" t="s">
        <v>343</v>
      </c>
      <c r="E22" s="11" t="s">
        <v>356</v>
      </c>
      <c r="F22" s="19" t="s">
        <v>29</v>
      </c>
      <c r="G22" s="20" t="n">
        <v>200</v>
      </c>
      <c r="H22" s="20" t="n">
        <f aca="false">SUM($G$5:G22)</f>
        <v>2600</v>
      </c>
    </row>
    <row r="23" customFormat="false" ht="15" hidden="false" customHeight="true" outlineLevel="0" collapsed="false">
      <c r="A23" s="19" t="n">
        <v>19</v>
      </c>
      <c r="B23" s="19" t="s">
        <v>79</v>
      </c>
      <c r="C23" s="18" t="n">
        <v>46113</v>
      </c>
      <c r="D23" s="19" t="s">
        <v>122</v>
      </c>
      <c r="E23" s="11" t="s">
        <v>123</v>
      </c>
      <c r="F23" s="19" t="s">
        <v>31</v>
      </c>
      <c r="G23" s="20" t="n">
        <v>30</v>
      </c>
      <c r="H23" s="20" t="n">
        <f aca="false">SUM($G$5:G23)</f>
        <v>2630</v>
      </c>
    </row>
    <row r="24" customFormat="false" ht="15" hidden="false" customHeight="true" outlineLevel="0" collapsed="false">
      <c r="A24" s="19" t="n">
        <v>20</v>
      </c>
      <c r="B24" s="19" t="s">
        <v>79</v>
      </c>
      <c r="C24" s="18" t="n">
        <v>46129</v>
      </c>
      <c r="D24" s="19" t="s">
        <v>73</v>
      </c>
      <c r="E24" s="11" t="s">
        <v>74</v>
      </c>
      <c r="F24" s="19" t="s">
        <v>31</v>
      </c>
      <c r="G24" s="20" t="n">
        <v>30</v>
      </c>
      <c r="H24" s="20" t="n">
        <f aca="false">SUM($G$5:G24)</f>
        <v>2660</v>
      </c>
    </row>
    <row r="25" customFormat="false" ht="15" hidden="false" customHeight="true" outlineLevel="0" collapsed="false">
      <c r="A25" s="19" t="n">
        <v>21</v>
      </c>
      <c r="B25" s="19" t="s">
        <v>79</v>
      </c>
      <c r="C25" s="18" t="n">
        <v>46134</v>
      </c>
      <c r="D25" s="19" t="s">
        <v>111</v>
      </c>
      <c r="E25" s="11" t="s">
        <v>112</v>
      </c>
      <c r="F25" s="19" t="s">
        <v>29</v>
      </c>
      <c r="G25" s="20" t="n">
        <v>120</v>
      </c>
      <c r="H25" s="20" t="n">
        <f aca="false">SUM($G$5:G25)</f>
        <v>2780</v>
      </c>
    </row>
    <row r="26" customFormat="false" ht="23.25" hidden="false" customHeight="true" outlineLevel="0" collapsed="false">
      <c r="A26" s="19" t="n">
        <v>22</v>
      </c>
      <c r="B26" s="19" t="s">
        <v>79</v>
      </c>
      <c r="C26" s="18" t="n">
        <v>46136</v>
      </c>
      <c r="D26" s="19" t="s">
        <v>73</v>
      </c>
      <c r="E26" s="11" t="s">
        <v>92</v>
      </c>
      <c r="F26" s="19" t="s">
        <v>31</v>
      </c>
      <c r="G26" s="20" t="n">
        <v>50</v>
      </c>
      <c r="H26" s="20" t="n">
        <f aca="false">SUM($G$5:G26)</f>
        <v>2830</v>
      </c>
    </row>
    <row r="27" customFormat="false" ht="15" hidden="false" customHeight="true" outlineLevel="0" collapsed="false">
      <c r="A27" s="19" t="n">
        <v>23</v>
      </c>
      <c r="B27" s="19" t="s">
        <v>79</v>
      </c>
      <c r="C27" s="18" t="n">
        <v>46157</v>
      </c>
      <c r="D27" s="19" t="s">
        <v>101</v>
      </c>
      <c r="E27" s="11" t="s">
        <v>102</v>
      </c>
      <c r="F27" s="19" t="s">
        <v>31</v>
      </c>
      <c r="G27" s="20" t="n">
        <v>50</v>
      </c>
      <c r="H27" s="20" t="n">
        <f aca="false">SUM($G$5:G27)</f>
        <v>2880</v>
      </c>
    </row>
    <row r="28" customFormat="false" ht="23.25" hidden="false" customHeight="true" outlineLevel="0" collapsed="false">
      <c r="A28" s="19" t="n">
        <v>24</v>
      </c>
      <c r="B28" s="19" t="s">
        <v>79</v>
      </c>
      <c r="C28" s="18" t="n">
        <v>46167</v>
      </c>
      <c r="D28" s="19" t="s">
        <v>73</v>
      </c>
      <c r="E28" s="11" t="s">
        <v>177</v>
      </c>
      <c r="F28" s="19" t="s">
        <v>29</v>
      </c>
      <c r="G28" s="20" t="n">
        <v>160</v>
      </c>
      <c r="H28" s="20" t="n">
        <f aca="false">SUM($G$5:G28)</f>
        <v>3040</v>
      </c>
    </row>
    <row r="29" customFormat="false" ht="15" hidden="false" customHeight="true" outlineLevel="0" collapsed="false">
      <c r="A29" s="19" t="n">
        <v>25</v>
      </c>
      <c r="B29" s="19" t="s">
        <v>79</v>
      </c>
      <c r="C29" s="18" t="n">
        <v>46204</v>
      </c>
      <c r="D29" s="19" t="s">
        <v>111</v>
      </c>
      <c r="E29" s="11" t="s">
        <v>191</v>
      </c>
      <c r="F29" s="19" t="s">
        <v>29</v>
      </c>
      <c r="G29" s="20" t="n">
        <v>120</v>
      </c>
      <c r="H29" s="20" t="n">
        <f aca="false">SUM($G$5:G29)</f>
        <v>3160</v>
      </c>
    </row>
    <row r="30" customFormat="false" ht="15" hidden="false" customHeight="true" outlineLevel="0" collapsed="false">
      <c r="A30" s="19" t="n">
        <v>26</v>
      </c>
      <c r="B30" s="19" t="s">
        <v>79</v>
      </c>
      <c r="C30" s="18" t="n">
        <v>46223</v>
      </c>
      <c r="D30" s="19" t="s">
        <v>122</v>
      </c>
      <c r="E30" s="11" t="s">
        <v>167</v>
      </c>
      <c r="F30" s="19" t="s">
        <v>31</v>
      </c>
      <c r="G30" s="20" t="n">
        <v>140</v>
      </c>
      <c r="H30" s="20" t="n">
        <f aca="false">SUM($G$5:G30)</f>
        <v>3300</v>
      </c>
    </row>
    <row r="31" customFormat="false" ht="15" hidden="false" customHeight="true" outlineLevel="0" collapsed="false">
      <c r="A31" s="19" t="n">
        <v>27</v>
      </c>
      <c r="B31" s="19" t="s">
        <v>79</v>
      </c>
      <c r="C31" s="18" t="n">
        <v>46266</v>
      </c>
      <c r="D31" s="19" t="s">
        <v>73</v>
      </c>
      <c r="E31" s="11" t="s">
        <v>218</v>
      </c>
      <c r="F31" s="19" t="s">
        <v>29</v>
      </c>
      <c r="G31" s="20" t="n">
        <v>75</v>
      </c>
      <c r="H31" s="20" t="n">
        <f aca="false">SUM($G$5:G31)</f>
        <v>3375</v>
      </c>
    </row>
    <row r="32" customFormat="false" ht="15" hidden="false" customHeight="true" outlineLevel="0" collapsed="false">
      <c r="A32" s="19" t="n">
        <v>28</v>
      </c>
      <c r="B32" s="19" t="s">
        <v>79</v>
      </c>
      <c r="C32" s="18" t="n">
        <v>46275</v>
      </c>
      <c r="D32" s="19" t="s">
        <v>111</v>
      </c>
      <c r="E32" s="11" t="s">
        <v>227</v>
      </c>
      <c r="F32" s="19" t="s">
        <v>29</v>
      </c>
      <c r="G32" s="20" t="n">
        <v>120</v>
      </c>
      <c r="H32" s="20" t="n">
        <f aca="false">SUM($G$5:G32)</f>
        <v>3495</v>
      </c>
    </row>
    <row r="33" customFormat="false" ht="15" hidden="false" customHeight="true" outlineLevel="0" collapsed="false">
      <c r="A33" s="19" t="n">
        <v>29</v>
      </c>
      <c r="B33" s="19" t="s">
        <v>79</v>
      </c>
      <c r="C33" s="18" t="n">
        <v>46317</v>
      </c>
      <c r="D33" s="19" t="s">
        <v>153</v>
      </c>
      <c r="E33" s="11" t="s">
        <v>215</v>
      </c>
      <c r="F33" s="19" t="s">
        <v>31</v>
      </c>
      <c r="G33" s="20" t="n">
        <v>110</v>
      </c>
      <c r="H33" s="20" t="n">
        <f aca="false">SUM($G$5:G33)</f>
        <v>3605</v>
      </c>
    </row>
    <row r="34" customFormat="false" ht="15" hidden="false" customHeight="true" outlineLevel="0" collapsed="false">
      <c r="A34" s="19" t="n">
        <v>30</v>
      </c>
      <c r="B34" s="19" t="s">
        <v>79</v>
      </c>
      <c r="C34" s="18" t="n">
        <v>46522</v>
      </c>
      <c r="D34" s="19" t="s">
        <v>143</v>
      </c>
      <c r="E34" s="11" t="s">
        <v>270</v>
      </c>
      <c r="F34" s="19" t="s">
        <v>31</v>
      </c>
      <c r="G34" s="20" t="n">
        <v>55</v>
      </c>
      <c r="H34" s="20" t="n">
        <f aca="false">SUM($G$5:G34)</f>
        <v>3660</v>
      </c>
    </row>
    <row r="35" customFormat="false" ht="23.25" hidden="false" customHeight="true" outlineLevel="0" collapsed="false">
      <c r="A35" s="19" t="n">
        <v>31</v>
      </c>
      <c r="B35" s="19" t="s">
        <v>79</v>
      </c>
      <c r="C35" s="18" t="n">
        <v>46614</v>
      </c>
      <c r="D35" s="19" t="s">
        <v>73</v>
      </c>
      <c r="E35" s="11" t="s">
        <v>295</v>
      </c>
      <c r="F35" s="19" t="s">
        <v>41</v>
      </c>
      <c r="G35" s="20" t="n">
        <v>75</v>
      </c>
      <c r="H35" s="20" t="n">
        <f aca="false">SUM($G$5:G35)</f>
        <v>3735</v>
      </c>
    </row>
    <row r="36" customFormat="false" ht="15" hidden="false" customHeight="true" outlineLevel="0" collapsed="false">
      <c r="A36" s="19" t="n">
        <v>32</v>
      </c>
      <c r="B36" s="19" t="s">
        <v>79</v>
      </c>
      <c r="C36" s="18" t="n">
        <v>46919</v>
      </c>
      <c r="D36" s="19" t="s">
        <v>143</v>
      </c>
      <c r="E36" s="11" t="s">
        <v>325</v>
      </c>
      <c r="F36" s="19" t="s">
        <v>31</v>
      </c>
      <c r="G36" s="20" t="n">
        <v>110</v>
      </c>
      <c r="H36" s="20" t="n">
        <f aca="false">SUM($G$5:G36)</f>
        <v>3845</v>
      </c>
    </row>
    <row r="38" customFormat="false" ht="15" hidden="false" customHeight="true" outlineLevel="0" collapsed="false">
      <c r="E38" s="5" t="s">
        <v>630</v>
      </c>
      <c r="G38" s="40" t="n">
        <f aca="false">SUM(G5:G36)</f>
        <v>3845</v>
      </c>
    </row>
    <row r="39" customFormat="false" ht="15" hidden="false" customHeight="true" outlineLevel="0" collapsed="false">
      <c r="E39" s="6" t="s">
        <v>631</v>
      </c>
      <c r="G39" s="5" t="n">
        <v>35</v>
      </c>
    </row>
    <row r="40" customFormat="false" ht="15" hidden="false" customHeight="true" outlineLevel="0" collapsed="false">
      <c r="E40" s="6" t="s">
        <v>632</v>
      </c>
      <c r="G40" s="40" t="n">
        <f aca="false">G38/35</f>
        <v>109.857142857143</v>
      </c>
    </row>
  </sheetData>
  <mergeCells count="2">
    <mergeCell ref="A1:H1"/>
    <mergeCell ref="A2:H2"/>
  </mergeCells>
  <conditionalFormatting sqref="B5:B36">
    <cfRule type="expression" priority="2" aboveAverage="0" equalAverage="0" bottom="0" percent="0" rank="0" text="" dxfId="6">
      <formula>LEFT(B5,1)="1"</formula>
    </cfRule>
    <cfRule type="expression" priority="3" aboveAverage="0" equalAverage="0" bottom="0" percent="0" rank="0" text="" dxfId="7">
      <formula>LEFT(B5,1)="2"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2026-04-20T03:54:51Z</dcterms:created>
  <dc:creator>openpyxl</dc:creator>
  <dc:description/>
  <dc:language>en-US</dc:language>
  <cp:lastModifiedBy/>
  <dcterms:modified xsi:type="dcterms:W3CDTF">2026-06-14T20:36:35Z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