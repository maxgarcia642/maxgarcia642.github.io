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kemon" sheetId="2" state="visible" r:id="rId4"/>
    <sheet name="Magic" sheetId="3" state="visible" r:id="rId5"/>
    <sheet name="YuGiOh" sheetId="4" state="visible" r:id="rId6"/>
    <sheet name="OnePiece" sheetId="5" state="visible" r:id="rId7"/>
    <sheet name="Lorcana" sheetId="6" state="visible" r:id="rId8"/>
    <sheet name="FleshAndBlood" sheetId="7" state="visible" r:id="rId9"/>
    <sheet name="StarWarsUnlimited" sheetId="8" state="visible" r:id="rId10"/>
    <sheet name="DragonBallFusion" sheetId="9" state="visible" r:id="rId11"/>
    <sheet name="Digimon" sheetId="10" state="visible" r:id="rId12"/>
    <sheet name="WeissSchwarz" sheetId="11" state="visible" r:id="rId13"/>
    <sheet name="UnionArena" sheetId="12" state="visible" r:id="rId14"/>
    <sheet name="Sports_Baseball" sheetId="13" state="visible" r:id="rId15"/>
    <sheet name="Sports_Basketball" sheetId="14" state="visible" r:id="rId16"/>
    <sheet name="Sports_Football" sheetId="15" state="visible" r:id="rId17"/>
    <sheet name="Sports_Soccer" sheetId="16" state="visible" r:id="rId18"/>
  </sheets>
  <definedNames>
    <definedName function="false" hidden="true" localSheetId="9" name="_xlnm._FilterDatabase" vbProcedure="false">Digimon!$A$4:$K$13</definedName>
    <definedName function="false" hidden="true" localSheetId="8" name="_xlnm._FilterDatabase" vbProcedure="false">DragonBallFusion!$A$4:$K$11</definedName>
    <definedName function="false" hidden="true" localSheetId="6" name="_xlnm._FilterDatabase" vbProcedure="false">FleshAndBlood!$A$4:$K$14</definedName>
    <definedName function="false" hidden="true" localSheetId="5" name="_xlnm._FilterDatabase" vbProcedure="false">Lorcana!$A$4:$K$15</definedName>
    <definedName function="false" hidden="true" localSheetId="2" name="_xlnm._FilterDatabase" vbProcedure="false">Magic!$A$4:$K$22</definedName>
    <definedName function="false" hidden="true" localSheetId="4" name="_xlnm._FilterDatabase" vbProcedure="false">OnePiece!$A$4:$K$15</definedName>
    <definedName function="false" hidden="true" localSheetId="1" name="_xlnm._FilterDatabase" vbProcedure="false">Pokemon!$A$4:$K$22</definedName>
    <definedName function="false" hidden="true" localSheetId="12" name="_xlnm._FilterDatabase" vbProcedure="false">Sports_Baseball!$A$4:$K$8</definedName>
    <definedName function="false" hidden="true" localSheetId="13" name="_xlnm._FilterDatabase" vbProcedure="false">Sports_Basketball!$A$4:$K$6</definedName>
    <definedName function="false" hidden="true" localSheetId="14" name="_xlnm._FilterDatabase" vbProcedure="false">Sports_Football!$A$4:$K$7</definedName>
    <definedName function="false" hidden="true" localSheetId="15" name="_xlnm._FilterDatabase" vbProcedure="false">Sports_Soccer!$A$4:$K$8</definedName>
    <definedName function="false" hidden="true" localSheetId="7" name="_xlnm._FilterDatabase" vbProcedure="false">StarWarsUnlimited!$A$4:$K$11</definedName>
    <definedName function="false" hidden="true" localSheetId="11" name="_xlnm._FilterDatabase" vbProcedure="false">UnionArena!$A$4:$K$14</definedName>
    <definedName function="false" hidden="true" localSheetId="10" name="_xlnm._FilterDatabase" vbProcedure="false">WeissSchwarz!$A$4:$K$13</definedName>
    <definedName function="false" hidden="true" localSheetId="3" name="_xlnm._FilterDatabase" vbProcedure="false">YuGiOh!$A$4:$K$13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<sst xmlns="http://schemas.openxmlformats.org/spreadsheetml/2006/main" count="1162" uniqueCount="686">
  <si>
    <t xml:space="preserve">Sealed Coverage Master — Buy-for-Coverage Layer</t>
  </si>
  <si>
    <t xml:space="preserve">Mid-2026 refresh (June 14, 2026). One sheet per game. Sports split by sport. Buy priorities: Essential / Optional / Skip / Trophy.</t>
  </si>
  <si>
    <t xml:space="preserve">Patience pays. 🦞</t>
  </si>
  <si>
    <t xml:space="preserve">What changed in the mid-2026 refresh</t>
  </si>
  <si>
    <t xml:space="preserve">Critical correction: Prismatic Evolutions (SV8.5) and 151 (SV3.5) were NEVER sold as traditional 36-pack booster boxes — they are ETB / Booster Bundle / UPC plays only. Any 'booster box' price seen elsewhere for them is an aggregator artifact. Other movers: MTG Final Fantasy Collector boxes re-spiked to ~$1,170+ (never reprinted); One Piece OP-13 sits at ~$725 ahead of an August 2026 Premium Bandai restock; Star Wars Unlimited remains in oversupply at ~$52/box on Amazon clearance; Pokemon's 30th Celebration set drops Sept 16-18, 2026 as the first worldwide-simultaneous release; and Fanatics now controls MLB, NBA, NFL, and (from 2031) FIFA licenses, ending the Panini era.</t>
  </si>
  <si>
    <t xml:space="preserve">Sheets</t>
  </si>
  <si>
    <t xml:space="preserve">Sheet</t>
  </si>
  <si>
    <t xml:space="preserve">Coverage</t>
  </si>
  <si>
    <t xml:space="preserve">Pokemon</t>
  </si>
  <si>
    <t xml:space="preserve">WOTC 1999 through Mega Evolution block + 30th Celebration 2026</t>
  </si>
  <si>
    <t xml:space="preserve">Magic</t>
  </si>
  <si>
    <t xml:space="preserve">Alpha 1993 through Reality Fracture / Star Trek UB 2026</t>
  </si>
  <si>
    <t xml:space="preserve">YuGiOh</t>
  </si>
  <si>
    <t xml:space="preserve">LOB 2002 through Quarter Century wind-down 2026</t>
  </si>
  <si>
    <t xml:space="preserve">OnePiece</t>
  </si>
  <si>
    <t xml:space="preserve">OP-01 2022 through OP-16 + simultaneous-release era</t>
  </si>
  <si>
    <t xml:space="preserve">Lorcana</t>
  </si>
  <si>
    <t xml:space="preserve">First Chapter 2023 through Attack of the Vine! 2026</t>
  </si>
  <si>
    <t xml:space="preserve">FleshAndBlood</t>
  </si>
  <si>
    <t xml:space="preserve">WTR 2019 through Rosetta / The Hunted 2026</t>
  </si>
  <si>
    <t xml:space="preserve">StarWarsUnlimited</t>
  </si>
  <si>
    <t xml:space="preserve">Spark of Rebellion 2024 through Fate of the Force (oversupply)</t>
  </si>
  <si>
    <t xml:space="preserve">DragonBallFusion</t>
  </si>
  <si>
    <t xml:space="preserve">FB01 2024 through FB08+ (Japanese arbitrage live)</t>
  </si>
  <si>
    <t xml:space="preserve">Digimon</t>
  </si>
  <si>
    <t xml:space="preserve">BT-01 2020 through BT-25/26 + EX-09 (2026)</t>
  </si>
  <si>
    <t xml:space="preserve">WeissSchwarz</t>
  </si>
  <si>
    <t xml:space="preserve">Hololive / Frieren / Oshi no Ko English + JP exclusives</t>
  </si>
  <si>
    <t xml:space="preserve">UnionArena</t>
  </si>
  <si>
    <t xml:space="preserve">Bleach / JJK / Demon Slayer / Evangelion English 2024-2026</t>
  </si>
  <si>
    <t xml:space="preserve">Sports_Baseball</t>
  </si>
  <si>
    <t xml:space="preserve">Topps/Fanatics MLB, Bowman Chrome, Debut Patch era</t>
  </si>
  <si>
    <t xml:space="preserve">Sports_Basketball</t>
  </si>
  <si>
    <t xml:space="preserve">Final Panini Prizm + first Fanatics Topps Chrome NBA</t>
  </si>
  <si>
    <t xml:space="preserve">Sports_Football</t>
  </si>
  <si>
    <t xml:space="preserve">Final Panini NFL Prizm + Fanatics Topps takeover</t>
  </si>
  <si>
    <t xml:space="preserve">Sports_Soccer</t>
  </si>
  <si>
    <t xml:space="preserve">FIFA World Cup 2026 Panini wave (last before Topps 2031)</t>
  </si>
  <si>
    <t xml:space="preserve">Pokemon TCG — Sealed Coverage</t>
  </si>
  <si>
    <t xml:space="preserve">WOTC 1999 → Mega Evolution block + 30th Celebration. NOTE: PRE &amp; 151 are ETB/bundle plays, not boxes.</t>
  </si>
  <si>
    <t xml:space="preserve">Set Name</t>
  </si>
  <si>
    <t xml:space="preserve">Code</t>
  </si>
  <si>
    <t xml:space="preserve">Era</t>
  </si>
  <si>
    <t xml:space="preserve">Release</t>
  </si>
  <si>
    <t xml:space="preserve">Type</t>
  </si>
  <si>
    <t xml:space="preserve">MSRP ($)</t>
  </si>
  <si>
    <t xml:space="preserve">Current ($)</t>
  </si>
  <si>
    <t xml:space="preserve">ROI %</t>
  </si>
  <si>
    <t xml:space="preserve">Priority</t>
  </si>
  <si>
    <t xml:space="preserve">Chase / Key Notes</t>
  </si>
  <si>
    <t xml:space="preserve">Description</t>
  </si>
  <si>
    <t xml:space="preserve">Base Set (Unlimited)</t>
  </si>
  <si>
    <t xml:space="preserve">BS</t>
  </si>
  <si>
    <t xml:space="preserve">WOTC</t>
  </si>
  <si>
    <t xml:space="preserve">Booster Box</t>
  </si>
  <si>
    <t xml:space="preserve">Trophy</t>
  </si>
  <si>
    <t xml:space="preserve">Charizard 4/102</t>
  </si>
  <si>
    <t xml:space="preserve">WOTC foundation. 1st Ed Shadowless box is the six-figure grail; Unlimited box is the attainable trophy.</t>
  </si>
  <si>
    <t xml:space="preserve">Jungle</t>
  </si>
  <si>
    <t xml:space="preserve">JU</t>
  </si>
  <si>
    <t xml:space="preserve">Flareon, Jolteon holos</t>
  </si>
  <si>
    <t xml:space="preserve">Second WOTC set. Sealed boxes scarce, 30th-anniversary nostalgia lifting demand.</t>
  </si>
  <si>
    <t xml:space="preserve">Fossil</t>
  </si>
  <si>
    <t xml:space="preserve">FO</t>
  </si>
  <si>
    <t xml:space="preserve">Dragonite, Gengar</t>
  </si>
  <si>
    <t xml:space="preserve">Third WOTC set. Sealed trophy tier.</t>
  </si>
  <si>
    <t xml:space="preserve">Evolving Skies</t>
  </si>
  <si>
    <t xml:space="preserve">EVS</t>
  </si>
  <si>
    <t xml:space="preserve">SWSH</t>
  </si>
  <si>
    <t xml:space="preserve">Essential</t>
  </si>
  <si>
    <t xml:space="preserve">Umbreon VMAX Alt (Moonbreon)</t>
  </si>
  <si>
    <t xml:space="preserve">Best modern ROI box; ~2x launch. Moonbreon SIR drives premium. Buy-and-hold core.</t>
  </si>
  <si>
    <t xml:space="preserve">Hidden Fates</t>
  </si>
  <si>
    <t xml:space="preserve">HIF</t>
  </si>
  <si>
    <t xml:space="preserve">SM</t>
  </si>
  <si>
    <t xml:space="preserve">ETB</t>
  </si>
  <si>
    <t xml:space="preserve">Charizard GX Shiny</t>
  </si>
  <si>
    <t xml:space="preserve">No booster box; ETB/tin product. Shiny vault chase. Anniversary demand.</t>
  </si>
  <si>
    <t xml:space="preserve">Crown Zenith</t>
  </si>
  <si>
    <t xml:space="preserve">CRZ</t>
  </si>
  <si>
    <t xml:space="preserve">Giratina VSTAR Gold</t>
  </si>
  <si>
    <t xml:space="preserve">Special set, ETB/tin play. Galarian Gallery subset.</t>
  </si>
  <si>
    <t xml:space="preserve">151 (SV3.5)</t>
  </si>
  <si>
    <t xml:space="preserve">MEW</t>
  </si>
  <si>
    <t xml:space="preserve">Scarlet &amp; Violet</t>
  </si>
  <si>
    <t xml:space="preserve">ETB / Bundle</t>
  </si>
  <si>
    <t xml:space="preserve">Charizard ex SIR, Mew ex</t>
  </si>
  <si>
    <t xml:space="preserve">NO booster box produced. Snorlax ETB ~$437; Booster Bundle ~$118; PC ETB $700+. Kanto nostalgia engine.</t>
  </si>
  <si>
    <t xml:space="preserve">Prismatic Evolutions (SV8.5)</t>
  </si>
  <si>
    <t xml:space="preserve">PRE</t>
  </si>
  <si>
    <t xml:space="preserve">Umbreon ex SIR, Eeveelutions</t>
  </si>
  <si>
    <t xml:space="preserve">NO booster box produced. ETB ~$143 vs $50 MSRP; PC ETB up to ~$362. The Pocket-era demand spike set.</t>
  </si>
  <si>
    <t xml:space="preserve">Journey Together (SV9)</t>
  </si>
  <si>
    <t xml:space="preserve">JTG</t>
  </si>
  <si>
    <t xml:space="preserve">N's Zoroark ex, Lillie SIR</t>
  </si>
  <si>
    <t xml:space="preserve">Trainer-gallery focus. Box ~$236, roughly flat. Standard-legal.</t>
  </si>
  <si>
    <t xml:space="preserve">Destined Rivals (SV10)</t>
  </si>
  <si>
    <t xml:space="preserve">DRI</t>
  </si>
  <si>
    <t xml:space="preserve">Optional</t>
  </si>
  <si>
    <t xml:space="preserve">Team Rocket's Mewtwo ex</t>
  </si>
  <si>
    <t xml:space="preserve">Box ~$503-600 but trending down off recent solds. Heat from Rocket nostalgia; watch for correction.</t>
  </si>
  <si>
    <t xml:space="preserve">Mega Evolution</t>
  </si>
  <si>
    <t xml:space="preserve">MEG</t>
  </si>
  <si>
    <t xml:space="preserve">Mega Lucario ex, Mega Attack Rares</t>
  </si>
  <si>
    <t xml:space="preserve">Block-opener; new Mega Attack Rare tier ($200+ tops). Standard-legal core.</t>
  </si>
  <si>
    <t xml:space="preserve">Ascended Heroes</t>
  </si>
  <si>
    <t xml:space="preserve">ASH</t>
  </si>
  <si>
    <t xml:space="preserve">Mega Gardevoir ex</t>
  </si>
  <si>
    <t xml:space="preserve">Early-2026 set. MSRP-day buy.</t>
  </si>
  <si>
    <t xml:space="preserve">Phantasmal Flames</t>
  </si>
  <si>
    <t xml:space="preserve">PHF</t>
  </si>
  <si>
    <t xml:space="preserve">Mega Charizard X ex</t>
  </si>
  <si>
    <t xml:space="preserve">Charizard-driven demand; buy at MSRP day-of.</t>
  </si>
  <si>
    <t xml:space="preserve">Perfect Order</t>
  </si>
  <si>
    <t xml:space="preserve">PFO</t>
  </si>
  <si>
    <t xml:space="preserve">Mega Gengar ex</t>
  </si>
  <si>
    <t xml:space="preserve">March 2026 set.</t>
  </si>
  <si>
    <t xml:space="preserve">Chaos Rising</t>
  </si>
  <si>
    <t xml:space="preserve">CHR</t>
  </si>
  <si>
    <t xml:space="preserve">TBD Mega ex</t>
  </si>
  <si>
    <t xml:space="preserve">PRIORITY preorder per collector plan.</t>
  </si>
  <si>
    <t xml:space="preserve">Pitch Black</t>
  </si>
  <si>
    <t xml:space="preserve">PBL</t>
  </si>
  <si>
    <t xml:space="preserve">Mega Darkrai ex</t>
  </si>
  <si>
    <t xml:space="preserve">PRIORITY MSRP day-of buy. Price populates after release.</t>
  </si>
  <si>
    <t xml:space="preserve">30th Celebration</t>
  </si>
  <si>
    <t xml:space="preserve">30C</t>
  </si>
  <si>
    <t xml:space="preserve">Anniversary</t>
  </si>
  <si>
    <t xml:space="preserve">Special (all-foil)</t>
  </si>
  <si>
    <t xml:space="preserve">Base Charizard reprint, 30 Pikachu by YOSHIROTTEN</t>
  </si>
  <si>
    <t xml:space="preserve">First-ever worldwide simultaneous release. All-foil packs, new opalescent Futuristic Rare. BUY-EVERYTHING event. Premium Deck Set (Espeon/Umbreon) too.</t>
  </si>
  <si>
    <t xml:space="preserve">Storm Emerald</t>
  </si>
  <si>
    <t xml:space="preserve">STE</t>
  </si>
  <si>
    <t xml:space="preserve">Mega Rayquaza ex</t>
  </si>
  <si>
    <t xml:space="preserve">Projected ~Sept (JP "Storm Emeralda" Jul 31). Confirm date.</t>
  </si>
  <si>
    <t xml:space="preserve">Magic: The Gathering — Sealed Coverage</t>
  </si>
  <si>
    <t xml:space="preserve">Reserved List vintage = Trophy. Recent Standard Play boxes ~$130-170 = Essential. UB Collector boxes above budget.</t>
  </si>
  <si>
    <t xml:space="preserve">Alpha</t>
  </si>
  <si>
    <t xml:space="preserve">LEA</t>
  </si>
  <si>
    <t xml:space="preserve">Reserved List</t>
  </si>
  <si>
    <t xml:space="preserve">Black Lotus, dual lands</t>
  </si>
  <si>
    <t xml:space="preserve">Apex grail; near-nonexistent sealed. Reference only.</t>
  </si>
  <si>
    <t xml:space="preserve">Beta</t>
  </si>
  <si>
    <t xml:space="preserve">LEB</t>
  </si>
  <si>
    <t xml:space="preserve">Power Nine</t>
  </si>
  <si>
    <t xml:space="preserve">Six-figure-plus trophy.</t>
  </si>
  <si>
    <t xml:space="preserve">Unlimited</t>
  </si>
  <si>
    <t xml:space="preserve">2ED</t>
  </si>
  <si>
    <t xml:space="preserve">Power Nine (unlimited)</t>
  </si>
  <si>
    <t xml:space="preserve">Most "attainable" of the 1993 trio, still six figures.</t>
  </si>
  <si>
    <t xml:space="preserve">Legends</t>
  </si>
  <si>
    <t xml:space="preserve">LEG</t>
  </si>
  <si>
    <t xml:space="preserve">Mana Drain, dual-color legends</t>
  </si>
  <si>
    <t xml:space="preserve">Reserved List trophy.</t>
  </si>
  <si>
    <t xml:space="preserve">Modern Horizons 3</t>
  </si>
  <si>
    <t xml:space="preserve">MH3</t>
  </si>
  <si>
    <t xml:space="preserve">Modern Horizons</t>
  </si>
  <si>
    <t xml:space="preserve">Collector Box</t>
  </si>
  <si>
    <t xml:space="preserve">Serialized Eldrazi, fetchlands</t>
  </si>
  <si>
    <t xml:space="preserve">Premium reprint set; Collector box high-EV but above budget.</t>
  </si>
  <si>
    <t xml:space="preserve">Foundations</t>
  </si>
  <si>
    <t xml:space="preserve">FDN</t>
  </si>
  <si>
    <t xml:space="preserve">Standard core</t>
  </si>
  <si>
    <t xml:space="preserve">Play Box</t>
  </si>
  <si>
    <t xml:space="preserve">Evergreen staples</t>
  </si>
  <si>
    <t xml:space="preserve">5-year-legal evergreen set. MSRP buy. (Collector ~$357.)</t>
  </si>
  <si>
    <t xml:space="preserve">Bloomburrow</t>
  </si>
  <si>
    <t xml:space="preserve">BLB</t>
  </si>
  <si>
    <t xml:space="preserve">Standard</t>
  </si>
  <si>
    <t xml:space="preserve">Animal Commander staples</t>
  </si>
  <si>
    <t xml:space="preserve">Strong Commander appeal. MSRP buy.</t>
  </si>
  <si>
    <t xml:space="preserve">Duskmourn</t>
  </si>
  <si>
    <t xml:space="preserve">DSK</t>
  </si>
  <si>
    <t xml:space="preserve">Horror theme, Rooms</t>
  </si>
  <si>
    <t xml:space="preserve">Well-reviewed draft set.</t>
  </si>
  <si>
    <t xml:space="preserve">Tarkir: Dragonstorm</t>
  </si>
  <si>
    <t xml:space="preserve">TDM</t>
  </si>
  <si>
    <t xml:space="preserve">Allied fetch reprints</t>
  </si>
  <si>
    <t xml:space="preserve">Dragon-clan IP, fetch reprints. Play box ~$170; Collector ~$400-500.</t>
  </si>
  <si>
    <t xml:space="preserve">Final Fantasy</t>
  </si>
  <si>
    <t xml:space="preserve">FIN</t>
  </si>
  <si>
    <t xml:space="preserve">Universes Beyond</t>
  </si>
  <si>
    <t xml:space="preserve">Sephiroth, FF chase suite</t>
  </si>
  <si>
    <t xml:space="preserve">RE-SPIKED to ~$1,170+. Never reprinted. Strongest UB appreciation engine; above budget.</t>
  </si>
  <si>
    <t xml:space="preserve">Edge of Eternities</t>
  </si>
  <si>
    <t xml:space="preserve">EOE</t>
  </si>
  <si>
    <t xml:space="preserve">Standard (sci-fi)</t>
  </si>
  <si>
    <t xml:space="preserve">Sci-fi planeswalkers</t>
  </si>
  <si>
    <t xml:space="preserve">Collector ~$648 / $699 retail; Play box ~lower. New plane.</t>
  </si>
  <si>
    <t xml:space="preserve">Lorwyn Eclipsed</t>
  </si>
  <si>
    <t xml:space="preserve">ECL</t>
  </si>
  <si>
    <t xml:space="preserve">Faerie/Elf tribal</t>
  </si>
  <si>
    <t xml:space="preserve">First post-MSRP-hike set; one box at launch.</t>
  </si>
  <si>
    <t xml:space="preserve">TMNT (Universes Beyond)</t>
  </si>
  <si>
    <t xml:space="preserve">TMNT</t>
  </si>
  <si>
    <t xml:space="preserve">Turtles crossover</t>
  </si>
  <si>
    <t xml:space="preserve">UB crossover; watch hype curve.</t>
  </si>
  <si>
    <t xml:space="preserve">Secrets of Strixhaven</t>
  </si>
  <si>
    <t xml:space="preserve">SOS</t>
  </si>
  <si>
    <t xml:space="preserve">Strixhaven return</t>
  </si>
  <si>
    <t xml:space="preserve">In-universe return set.</t>
  </si>
  <si>
    <t xml:space="preserve">Marvel Super Heroes (UB)</t>
  </si>
  <si>
    <t xml:space="preserve">MAR</t>
  </si>
  <si>
    <t xml:space="preserve">Marvel chase suite</t>
  </si>
  <si>
    <t xml:space="preserve">New UB Marvel set; price populates post-release.</t>
  </si>
  <si>
    <t xml:space="preserve">The Hobbit (UB)</t>
  </si>
  <si>
    <t xml:space="preserve">HOB</t>
  </si>
  <si>
    <t xml:space="preserve">Middle-earth return</t>
  </si>
  <si>
    <t xml:space="preserve">Follows LOTR success; watch demand.</t>
  </si>
  <si>
    <t xml:space="preserve">Reality Fracture</t>
  </si>
  <si>
    <t xml:space="preserve">REF</t>
  </si>
  <si>
    <t xml:space="preserve">In-universe</t>
  </si>
  <si>
    <t xml:space="preserve">Oct 2026 in-universe set.</t>
  </si>
  <si>
    <t xml:space="preserve">Star Trek (UB)</t>
  </si>
  <si>
    <t xml:space="preserve">TREK</t>
  </si>
  <si>
    <t xml:space="preserve">Trek crossover</t>
  </si>
  <si>
    <t xml:space="preserve">~Nov 2026 UB set.</t>
  </si>
  <si>
    <t xml:space="preserve">Yu-Gi-Oh! — Sealed Coverage</t>
  </si>
  <si>
    <t xml:space="preserve">1st Ed LOB-IOC = Trophy. 25th-anniversary QC products = Essential (rarity retiring). 30th anniversary lands 2029.</t>
  </si>
  <si>
    <t xml:space="preserve">Legend of Blue Eyes White Dragon (1st Ed)</t>
  </si>
  <si>
    <t xml:space="preserve">LOB</t>
  </si>
  <si>
    <t xml:space="preserve">Original</t>
  </si>
  <si>
    <t xml:space="preserve">Blue-Eyes, Exodia</t>
  </si>
  <si>
    <t xml:space="preserve">1st Ed sealed box is the YGO grail. Five-to-six figures.</t>
  </si>
  <si>
    <t xml:space="preserve">Invasion of Chaos (1st Ed)</t>
  </si>
  <si>
    <t xml:space="preserve">IOC</t>
  </si>
  <si>
    <t xml:space="preserve">Black Luster Soldier - Envoy</t>
  </si>
  <si>
    <t xml:space="preserve">Early-2000s 1st Ed trophy.</t>
  </si>
  <si>
    <t xml:space="preserve">25th Anniversary Rarity Collection</t>
  </si>
  <si>
    <t xml:space="preserve">25RC</t>
  </si>
  <si>
    <t xml:space="preserve">25th Anniv</t>
  </si>
  <si>
    <t xml:space="preserve">QC Secret Rares (any prior card)</t>
  </si>
  <si>
    <t xml:space="preserve">All-foil nostalgia print. QC rarity prints any prior card as high-rarity foil.</t>
  </si>
  <si>
    <t xml:space="preserve">Quarter Century Bonanza</t>
  </si>
  <si>
    <t xml:space="preserve">QCB</t>
  </si>
  <si>
    <t xml:space="preserve">QC Secret Rares</t>
  </si>
  <si>
    <t xml:space="preserve">Anniversary print run. Will not be reprinted in this rarity.</t>
  </si>
  <si>
    <t xml:space="preserve">Quarter Century Stampede</t>
  </si>
  <si>
    <t xml:space="preserve">QCS</t>
  </si>
  <si>
    <t xml:space="preserve">Last-chance QC Secret Rares</t>
  </si>
  <si>
    <t xml:space="preserve">Billed as final QC Secret Rare allocation. Buy at MSRP now.</t>
  </si>
  <si>
    <t xml:space="preserve">Supreme Darkness</t>
  </si>
  <si>
    <t xml:space="preserve">SUDA</t>
  </si>
  <si>
    <t xml:space="preserve">Series 12</t>
  </si>
  <si>
    <t xml:space="preserve">Core meta cards</t>
  </si>
  <si>
    <t xml:space="preserve">Modern core booster.</t>
  </si>
  <si>
    <t xml:space="preserve">Alliance Insight</t>
  </si>
  <si>
    <t xml:space="preserve">ALIN</t>
  </si>
  <si>
    <t xml:space="preserve">LAST set with QC Secret Rares</t>
  </si>
  <si>
    <t xml:space="preserve">8th and final Series 12 core booster; last to carry QC Secret Rares.</t>
  </si>
  <si>
    <t xml:space="preserve">Crossover Breakers</t>
  </si>
  <si>
    <t xml:space="preserve">CRBR</t>
  </si>
  <si>
    <t xml:space="preserve">2026</t>
  </si>
  <si>
    <t xml:space="preserve">Cross-archetype support</t>
  </si>
  <si>
    <t xml:space="preserve">2026 product; QC rarity retired going forward.</t>
  </si>
  <si>
    <t xml:space="preserve">World Championship 2026 Limited Pack</t>
  </si>
  <si>
    <t xml:space="preserve">WC26</t>
  </si>
  <si>
    <t xml:space="preserve">Promo Pack</t>
  </si>
  <si>
    <t xml:space="preserve">Event-exclusive promos</t>
  </si>
  <si>
    <t xml:space="preserve">Tournament/event product.</t>
  </si>
  <si>
    <t xml:space="preserve">One Piece TCG — Sealed Coverage</t>
  </si>
  <si>
    <t xml:space="preserve">OP-01 W1 Blue Bottom = Trophy. Shortage resolved via simultaneous releases. OP-13 chase box ~$725, watch Aug restock.</t>
  </si>
  <si>
    <t xml:space="preserve">OP-01 Romance Dawn (Wave 1 Blue Bottom)</t>
  </si>
  <si>
    <t xml:space="preserve">OP01-W1</t>
  </si>
  <si>
    <t xml:space="preserve">Foundational</t>
  </si>
  <si>
    <t xml:space="preserve">Luffy Leader, Shanks SEC</t>
  </si>
  <si>
    <t xml:space="preserve">Wave 1 Blue Bottom = scarcity trophy. ~289% over MSRP.</t>
  </si>
  <si>
    <t xml:space="preserve">OP-01 Romance Dawn (Wave 2 reprint)</t>
  </si>
  <si>
    <t xml:space="preserve">OP01-W2</t>
  </si>
  <si>
    <t xml:space="preserve">Same chase, reprinted</t>
  </si>
  <si>
    <t xml:space="preserve">White Bottom reprint near MSRP. Coverage buy.</t>
  </si>
  <si>
    <t xml:space="preserve">OP-05 Awakening of the New Era</t>
  </si>
  <si>
    <t xml:space="preserve">OP05</t>
  </si>
  <si>
    <t xml:space="preserve">Egghead</t>
  </si>
  <si>
    <t xml:space="preserve">Gear 5 Luffy</t>
  </si>
  <si>
    <t xml:space="preserve">Strong demand set.</t>
  </si>
  <si>
    <t xml:space="preserve">OP-11 A Fist of Divine Speed</t>
  </si>
  <si>
    <t xml:space="preserve">OP11</t>
  </si>
  <si>
    <t xml:space="preserve">Modern</t>
  </si>
  <si>
    <t xml:space="preserve">Sabo, Kizaru chases</t>
  </si>
  <si>
    <t xml:space="preserve">Modern set near MSRP.</t>
  </si>
  <si>
    <t xml:space="preserve">OP-12 Legacy of the Master</t>
  </si>
  <si>
    <t xml:space="preserve">OP12</t>
  </si>
  <si>
    <t xml:space="preserve">Rayleigh, master-themed</t>
  </si>
  <si>
    <t xml:space="preserve">Modern set.</t>
  </si>
  <si>
    <t xml:space="preserve">OP-13 Carrying On His Will</t>
  </si>
  <si>
    <t xml:space="preserve">OP13</t>
  </si>
  <si>
    <t xml:space="preserve">Ace/Whitebeard chase suite</t>
  </si>
  <si>
    <t xml:space="preserve">CHASE BOX ~$725. August 2026 Premium Bandai restock pending — expect pullback. Do not chase at peak.</t>
  </si>
  <si>
    <t xml:space="preserve">OP-14 The Azure Sea’s Seven</t>
  </si>
  <si>
    <t xml:space="preserve">OP14</t>
  </si>
  <si>
    <t xml:space="preserve">Seven Warlords theme</t>
  </si>
  <si>
    <t xml:space="preserve">Jan 2026 set.</t>
  </si>
  <si>
    <t xml:space="preserve">OP-15 Adventure on Kami’s Island</t>
  </si>
  <si>
    <t xml:space="preserve">OP15</t>
  </si>
  <si>
    <t xml:space="preserve">Simultaneous era</t>
  </si>
  <si>
    <t xml:space="preserve">Skypiea arc</t>
  </si>
  <si>
    <t xml:space="preserve">First simultaneous global release.</t>
  </si>
  <si>
    <t xml:space="preserve">OP-16 Paramount War</t>
  </si>
  <si>
    <t xml:space="preserve">OP16</t>
  </si>
  <si>
    <t xml:space="preserve">Marineford chase suite</t>
  </si>
  <si>
    <t xml:space="preserve">CURRENT set. $4.99/pack, $120/box. MSRP buy.</t>
  </si>
  <si>
    <t xml:space="preserve">EB-03 Heroines</t>
  </si>
  <si>
    <t xml:space="preserve">EB03</t>
  </si>
  <si>
    <t xml:space="preserve">Extra Booster</t>
  </si>
  <si>
    <t xml:space="preserve">Female-character alt arts</t>
  </si>
  <si>
    <t xml:space="preserve">Curated alt-art product.</t>
  </si>
  <si>
    <t xml:space="preserve">OP-17 (4th Anniversary)</t>
  </si>
  <si>
    <t xml:space="preserve">OP17</t>
  </si>
  <si>
    <t xml:space="preserve">Anniversary chase suite</t>
  </si>
  <si>
    <t xml:space="preserve">4th-anniversary set; first simultaneous worldwide booster. 5th anniversary 2027.</t>
  </si>
  <si>
    <t xml:space="preserve">Disney Lorcana — Sealed Coverage</t>
  </si>
  <si>
    <t xml:space="preserve">First Chapter Wave 1 = Trophy. Chapters at MSRP = Essential. Illumineer’s Quest = Skip for coverage.</t>
  </si>
  <si>
    <t xml:space="preserve">The First Chapter (Wave 1)</t>
  </si>
  <si>
    <t xml:space="preserve">CH1-W1</t>
  </si>
  <si>
    <t xml:space="preserve">First Chapter</t>
  </si>
  <si>
    <t xml:space="preserve">Mickey Brave Little Tailor Ench.</t>
  </si>
  <si>
    <t xml:space="preserve">Wave 1 scarcity + original Enchanted. Premium over reprint.</t>
  </si>
  <si>
    <t xml:space="preserve">The First Chapter (Wave 2 reprint)</t>
  </si>
  <si>
    <t xml:space="preserve">CH1-W2</t>
  </si>
  <si>
    <t xml:space="preserve">Reprint near MSRP. Coverage buy.</t>
  </si>
  <si>
    <t xml:space="preserve">Rise of the Floodborn</t>
  </si>
  <si>
    <t xml:space="preserve">CH2</t>
  </si>
  <si>
    <t xml:space="preserve">Floodborn</t>
  </si>
  <si>
    <t xml:space="preserve">Elsa, Mickey Ench.</t>
  </si>
  <si>
    <t xml:space="preserve">Stabilized at MSRP.</t>
  </si>
  <si>
    <t xml:space="preserve">Shimmering Skies</t>
  </si>
  <si>
    <t xml:space="preserve">CH5</t>
  </si>
  <si>
    <t xml:space="preserve">Sky-themed legendaries</t>
  </si>
  <si>
    <t xml:space="preserve">MSRP coverage buy.</t>
  </si>
  <si>
    <t xml:space="preserve">Azurite Sea</t>
  </si>
  <si>
    <t xml:space="preserve">CH6</t>
  </si>
  <si>
    <t xml:space="preserve">Sea-themed chases</t>
  </si>
  <si>
    <t xml:space="preserve">Fabled</t>
  </si>
  <si>
    <t xml:space="preserve">CH9</t>
  </si>
  <si>
    <t xml:space="preserve">Fable-themed legendaries</t>
  </si>
  <si>
    <t xml:space="preserve">Set 9; rotation legal.</t>
  </si>
  <si>
    <t xml:space="preserve">Whispers in the Well</t>
  </si>
  <si>
    <t xml:space="preserve">CH10</t>
  </si>
  <si>
    <t xml:space="preserve">2025</t>
  </si>
  <si>
    <t xml:space="preserve">New characters</t>
  </si>
  <si>
    <t xml:space="preserve">Late-2025 set.</t>
  </si>
  <si>
    <t xml:space="preserve">Winterspell</t>
  </si>
  <si>
    <t xml:space="preserve">CH11</t>
  </si>
  <si>
    <t xml:space="preserve">Winter-themed</t>
  </si>
  <si>
    <t xml:space="preserve">Early-2026 set.</t>
  </si>
  <si>
    <t xml:space="preserve">Wilds Unknown</t>
  </si>
  <si>
    <t xml:space="preserve">CH12</t>
  </si>
  <si>
    <t xml:space="preserve">2026 (Pixar)</t>
  </si>
  <si>
    <t xml:space="preserve">Toy Story/Brave/Incredibles, Iconic rarity</t>
  </si>
  <si>
    <t xml:space="preserve">First Pixar crossover. New "Iconic" rarity, Lore Nouveau Enchanted, 242 cards.</t>
  </si>
  <si>
    <t xml:space="preserve">Attack of the Vine!</t>
  </si>
  <si>
    <t xml:space="preserve">CH13</t>
  </si>
  <si>
    <t xml:space="preserve">2026 (Monsters Inc.)</t>
  </si>
  <si>
    <t xml:space="preserve">Monsters Inc. characters</t>
  </si>
  <si>
    <t xml:space="preserve">Set 13; price populates post-release.</t>
  </si>
  <si>
    <t xml:space="preserve">Illumineer’s Quest: Great Hunny Rescue</t>
  </si>
  <si>
    <t xml:space="preserve">IQ3</t>
  </si>
  <si>
    <t xml:space="preserve">Quest</t>
  </si>
  <si>
    <t xml:space="preserve">Quest Box</t>
  </si>
  <si>
    <t xml:space="preserve">Skip</t>
  </si>
  <si>
    <t xml:space="preserve">Non-randomized story cards</t>
  </si>
  <si>
    <t xml:space="preserve">Skip for coverage — non-randomized, low unique-card density.</t>
  </si>
  <si>
    <t xml:space="preserve">Flesh and Blood — Sealed Coverage</t>
  </si>
  <si>
    <t xml:space="preserve">WTR Alpha &amp; CRU 1st Ed = Trophy. Unlimited + modern cores ($110) = Essential. Cold Foils are pull-rate chases.</t>
  </si>
  <si>
    <t xml:space="preserve">Welcome to Rathe (Alpha)</t>
  </si>
  <si>
    <t xml:space="preserve">WTR-A</t>
  </si>
  <si>
    <t xml:space="preserve">Fyendal’s Spring Tunic CF</t>
  </si>
  <si>
    <t xml:space="preserve">Alpha box is the FAB grail.</t>
  </si>
  <si>
    <t xml:space="preserve">Welcome to Rathe (Unlimited)</t>
  </si>
  <si>
    <t xml:space="preserve">WTR-U</t>
  </si>
  <si>
    <t xml:space="preserve">Same heroes, reprinted</t>
  </si>
  <si>
    <t xml:space="preserve">Most affordable WTR entry. Coverage buy.</t>
  </si>
  <si>
    <t xml:space="preserve">Crucible of War (1st Ed)</t>
  </si>
  <si>
    <t xml:space="preserve">CRU</t>
  </si>
  <si>
    <t xml:space="preserve">CF legendaries</t>
  </si>
  <si>
    <t xml:space="preserve">1st Ed scarcity play.</t>
  </si>
  <si>
    <t xml:space="preserve">Monarch (1st Ed)</t>
  </si>
  <si>
    <t xml:space="preserve">MON</t>
  </si>
  <si>
    <t xml:space="preserve">Core</t>
  </si>
  <si>
    <t xml:space="preserve">Prism, Levia</t>
  </si>
  <si>
    <t xml:space="preserve">Cheap 1st Ed coverage buy.</t>
  </si>
  <si>
    <t xml:space="preserve">Tales of Aria (1st Ed)</t>
  </si>
  <si>
    <t xml:space="preserve">TOA</t>
  </si>
  <si>
    <t xml:space="preserve">Elemental heroes</t>
  </si>
  <si>
    <t xml:space="preserve">Coverage buy.</t>
  </si>
  <si>
    <t xml:space="preserve">Everfest (1st Ed)</t>
  </si>
  <si>
    <t xml:space="preserve">EVR</t>
  </si>
  <si>
    <t xml:space="preserve">Supplemental</t>
  </si>
  <si>
    <t xml:space="preserve">Festival theme</t>
  </si>
  <si>
    <t xml:space="preserve">Cheap supplemental coverage.</t>
  </si>
  <si>
    <t xml:space="preserve">Heavy Hitters</t>
  </si>
  <si>
    <t xml:space="preserve">HVY</t>
  </si>
  <si>
    <t xml:space="preserve">Guardian/Warrior CF</t>
  </si>
  <si>
    <t xml:space="preserve">Part the Mistveil</t>
  </si>
  <si>
    <t xml:space="preserve">MST</t>
  </si>
  <si>
    <t xml:space="preserve">Ninja CF</t>
  </si>
  <si>
    <t xml:space="preserve">First Japanese print run.</t>
  </si>
  <si>
    <t xml:space="preserve">Rosetta</t>
  </si>
  <si>
    <t xml:space="preserve">ROS</t>
  </si>
  <si>
    <t xml:space="preserve">Core (Arcane)</t>
  </si>
  <si>
    <t xml:space="preserve">4 new Arcane heroes</t>
  </si>
  <si>
    <t xml:space="preserve">15th set; all-Arcane.</t>
  </si>
  <si>
    <t xml:space="preserve">The Hunted</t>
  </si>
  <si>
    <t xml:space="preserve">HNT</t>
  </si>
  <si>
    <t xml:space="preserve">Ninja/Warrior/Assassin</t>
  </si>
  <si>
    <t xml:space="preserve">Feudal Volcor theme. 2026 set.</t>
  </si>
  <si>
    <t xml:space="preserve">Star Wars: Unlimited — Sealed Coverage</t>
  </si>
  <si>
    <t xml:space="preserve">STILL in oversupply mid-2026: boxes ~$52-70 on clearance. Cheapest active TCG entry. Buy now; recovery has NOT occurred.</t>
  </si>
  <si>
    <t xml:space="preserve">Spark of Rebellion</t>
  </si>
  <si>
    <t xml:space="preserve">SOR</t>
  </si>
  <si>
    <t xml:space="preserve">Set 1</t>
  </si>
  <si>
    <t xml:space="preserve">Vader, Luke leaders</t>
  </si>
  <si>
    <t xml:space="preserve">Below MSRP. Coverage buy in oversupply.</t>
  </si>
  <si>
    <t xml:space="preserve">Shadows of the Galaxy</t>
  </si>
  <si>
    <t xml:space="preserve">SHD</t>
  </si>
  <si>
    <t xml:space="preserve">Set 2</t>
  </si>
  <si>
    <t xml:space="preserve">Bounty hunters</t>
  </si>
  <si>
    <t xml:space="preserve">Below MSRP.</t>
  </si>
  <si>
    <t xml:space="preserve">Twilight of the Republic</t>
  </si>
  <si>
    <t xml:space="preserve">TWI</t>
  </si>
  <si>
    <t xml:space="preserve">Set 3</t>
  </si>
  <si>
    <t xml:space="preserve">Clone Wars leaders</t>
  </si>
  <si>
    <t xml:space="preserve">Amazon clearance ~$58. Coverage buy.</t>
  </si>
  <si>
    <t xml:space="preserve">Jump to Lightspeed</t>
  </si>
  <si>
    <t xml:space="preserve">JTL</t>
  </si>
  <si>
    <t xml:space="preserve">Set 4</t>
  </si>
  <si>
    <t xml:space="preserve">Starfighter theme</t>
  </si>
  <si>
    <t xml:space="preserve">Amazon clearance sub-$60.</t>
  </si>
  <si>
    <t xml:space="preserve">Legends of the Force</t>
  </si>
  <si>
    <t xml:space="preserve">LOF</t>
  </si>
  <si>
    <t xml:space="preserve">Set 5</t>
  </si>
  <si>
    <t xml:space="preserve">Force users</t>
  </si>
  <si>
    <t xml:space="preserve">CHEAPEST box of the run ~$52.20 (~$2.17/pack). Strong coverage value.</t>
  </si>
  <si>
    <t xml:space="preserve">Secrets of Power</t>
  </si>
  <si>
    <t xml:space="preserve">SOP</t>
  </si>
  <si>
    <t xml:space="preserve">Set 6</t>
  </si>
  <si>
    <t xml:space="preserve">Power-themed leaders</t>
  </si>
  <si>
    <t xml:space="preserve">Nov 2025 set.</t>
  </si>
  <si>
    <t xml:space="preserve">Fate of the Force</t>
  </si>
  <si>
    <t xml:space="preserve">FOF</t>
  </si>
  <si>
    <t xml:space="preserve">Set 7</t>
  </si>
  <si>
    <t xml:space="preserve">TBD leaders</t>
  </si>
  <si>
    <t xml:space="preserve">2026 set; oversupply persists.</t>
  </si>
  <si>
    <t xml:space="preserve">Dragon Ball Super Fusion World — Sealed Coverage</t>
  </si>
  <si>
    <t xml:space="preserve">Strongest JP arbitrage in TCG: JP boxes ~$68-90 vs EN ~$96-130. Buy Japanese for coverage.</t>
  </si>
  <si>
    <t xml:space="preserve">FB01 Awakened Pulse</t>
  </si>
  <si>
    <t xml:space="preserve">FB01</t>
  </si>
  <si>
    <t xml:space="preserve">Goku/Frieza/Cell SEC</t>
  </si>
  <si>
    <t xml:space="preserve">Foundation set; JP arbitrage best play.</t>
  </si>
  <si>
    <t xml:space="preserve">FB04 Collision of Worlds</t>
  </si>
  <si>
    <t xml:space="preserve">FB04</t>
  </si>
  <si>
    <t xml:space="preserve">Mid-block</t>
  </si>
  <si>
    <t xml:space="preserve">Cell-X, Goku Black SEC</t>
  </si>
  <si>
    <t xml:space="preserve">Strong competitive set.</t>
  </si>
  <si>
    <t xml:space="preserve">FB05 New Adventure</t>
  </si>
  <si>
    <t xml:space="preserve">FB05</t>
  </si>
  <si>
    <t xml:space="preserve">New character debuts</t>
  </si>
  <si>
    <t xml:space="preserve">JP ~$68-90 (Solaris). Buy JP not EN.</t>
  </si>
  <si>
    <t xml:space="preserve">FB06 Looming Threat</t>
  </si>
  <si>
    <t xml:space="preserve">FB06</t>
  </si>
  <si>
    <t xml:space="preserve">Villain chase suite</t>
  </si>
  <si>
    <t xml:space="preserve">JP arbitrage live. Buy JP.</t>
  </si>
  <si>
    <t xml:space="preserve">FB07 Wish for Shenron</t>
  </si>
  <si>
    <t xml:space="preserve">FB07</t>
  </si>
  <si>
    <t xml:space="preserve">Late-block</t>
  </si>
  <si>
    <t xml:space="preserve">Shenron theme</t>
  </si>
  <si>
    <t xml:space="preserve">Buy JP for best EV.</t>
  </si>
  <si>
    <t xml:space="preserve">FB08 Proud Fighting Tribe</t>
  </si>
  <si>
    <t xml:space="preserve">FB08</t>
  </si>
  <si>
    <t xml:space="preserve">Saiyan theme</t>
  </si>
  <si>
    <t xml:space="preserve">2026 set; JP arbitrage.</t>
  </si>
  <si>
    <t xml:space="preserve">Starter Decks SD01-SD09</t>
  </si>
  <si>
    <t xml:space="preserve">SD0x</t>
  </si>
  <si>
    <t xml:space="preserve">Various</t>
  </si>
  <si>
    <t xml:space="preserve">2024-2026</t>
  </si>
  <si>
    <t xml:space="preserve">Starter Deck</t>
  </si>
  <si>
    <t xml:space="preserve">Unique Leader cards</t>
  </si>
  <si>
    <t xml:space="preserve">Each provides a unique Leader; ~$20-22.</t>
  </si>
  <si>
    <t xml:space="preserve">Digimon Card Game — Sealed Coverage</t>
  </si>
  <si>
    <t xml:space="preserve">Second-strongest JP arbitrage: JP ~$46-75 vs EN ~$90-140. BT-01 V1.0 first print is the trophy entry.</t>
  </si>
  <si>
    <t xml:space="preserve">BT-01 Special Booster V1.0</t>
  </si>
  <si>
    <t xml:space="preserve">BT01</t>
  </si>
  <si>
    <t xml:space="preserve">V1.x</t>
  </si>
  <si>
    <t xml:space="preserve">Omnimon BT1-085 Alt</t>
  </si>
  <si>
    <t xml:space="preserve">Foundation. V1.0 first print scarcer than V1.5 reprint. JP cheaper.</t>
  </si>
  <si>
    <t xml:space="preserve">BT-05 Battle of Omni</t>
  </si>
  <si>
    <t xml:space="preserve">BT05</t>
  </si>
  <si>
    <t xml:space="preserve">Omnimon Alter-S</t>
  </si>
  <si>
    <t xml:space="preserve">BT-16 Beginning Observer</t>
  </si>
  <si>
    <t xml:space="preserve">BT16</t>
  </si>
  <si>
    <t xml:space="preserve">V2.0</t>
  </si>
  <si>
    <t xml:space="preserve">Beelzemon, Lucemon</t>
  </si>
  <si>
    <t xml:space="preserve">New core-set pricing tier (~$130).</t>
  </si>
  <si>
    <t xml:space="preserve">BT-21 World Convergence</t>
  </si>
  <si>
    <t xml:space="preserve">BT21</t>
  </si>
  <si>
    <t xml:space="preserve">V2.5+</t>
  </si>
  <si>
    <t xml:space="preserve">Cross-anime characters</t>
  </si>
  <si>
    <t xml:space="preserve">JP ~$75. Buy JP.</t>
  </si>
  <si>
    <t xml:space="preserve">BT-22 Cyber Eden</t>
  </si>
  <si>
    <t xml:space="preserve">BT22</t>
  </si>
  <si>
    <t xml:space="preserve">Cyber theme</t>
  </si>
  <si>
    <t xml:space="preserve">JP arbitrage.</t>
  </si>
  <si>
    <t xml:space="preserve">BT-23 Hackers’ Slumber</t>
  </si>
  <si>
    <t xml:space="preserve">BT23</t>
  </si>
  <si>
    <t xml:space="preserve">Cyber Sleuth theme</t>
  </si>
  <si>
    <t xml:space="preserve">2026 set.</t>
  </si>
  <si>
    <t xml:space="preserve">BT-24 Time Stranger</t>
  </si>
  <si>
    <t xml:space="preserve">BT24</t>
  </si>
  <si>
    <t xml:space="preserve">Time theme</t>
  </si>
  <si>
    <t xml:space="preserve">BT-25 Dual Revolution</t>
  </si>
  <si>
    <t xml:space="preserve">BT25</t>
  </si>
  <si>
    <t xml:space="preserve">Dual-type theme</t>
  </si>
  <si>
    <t xml:space="preserve">$4.99/pack, 24 packs/box. MSRP buy.</t>
  </si>
  <si>
    <t xml:space="preserve">EX-09 Versus Monsters</t>
  </si>
  <si>
    <t xml:space="preserve">EX09</t>
  </si>
  <si>
    <t xml:space="preserve">Monster archetypes</t>
  </si>
  <si>
    <t xml:space="preserve">Archetype theme box.</t>
  </si>
  <si>
    <t xml:space="preserve">Weiss Schwarz — Sealed Coverage</t>
  </si>
  <si>
    <t xml:space="preserve">Publisher-set US MSRP ($68-72/box) makes scalper detection easy. Note: Demon Slayer/JJK are Union Arena IPs, not Weiss.</t>
  </si>
  <si>
    <t xml:space="preserve">Hololive Production Vol.2 (EN)</t>
  </si>
  <si>
    <t xml:space="preserve">HOL2</t>
  </si>
  <si>
    <t xml:space="preserve">Hololive</t>
  </si>
  <si>
    <t xml:space="preserve">Vol.2 gen SP signed</t>
  </si>
  <si>
    <t xml:space="preserve">Bushiroad MSRP $4.50/pack = $72/box. Best VTuber entry.</t>
  </si>
  <si>
    <t xml:space="preserve">Hololive English Project: Hope</t>
  </si>
  <si>
    <t xml:space="preserve">HOLEN</t>
  </si>
  <si>
    <t xml:space="preserve">EN talents SP</t>
  </si>
  <si>
    <t xml:space="preserve">Western VTuber demand. Repeated reprints.</t>
  </si>
  <si>
    <t xml:space="preserve">Spy x Family (EN)</t>
  </si>
  <si>
    <t xml:space="preserve">SPY</t>
  </si>
  <si>
    <t xml:space="preserve">Anya/Yor/Loid SP</t>
  </si>
  <si>
    <t xml:space="preserve">Bushiroad MSRP $4.30/pack. Mainstream IP.</t>
  </si>
  <si>
    <t xml:space="preserve">Frieren: Beyond Journey’s End (EN)</t>
  </si>
  <si>
    <t xml:space="preserve">FRN</t>
  </si>
  <si>
    <t xml:space="preserve">Frieren</t>
  </si>
  <si>
    <t xml:space="preserve">Frieren/Fern/Stark SP</t>
  </si>
  <si>
    <t xml:space="preserve">2024 breakout anime.</t>
  </si>
  <si>
    <t xml:space="preserve">Oshi no Ko (EN)</t>
  </si>
  <si>
    <t xml:space="preserve">ONK</t>
  </si>
  <si>
    <t xml:space="preserve">Oshi no Ko</t>
  </si>
  <si>
    <t xml:space="preserve">Ai/Aqua/Ruby SP</t>
  </si>
  <si>
    <t xml:space="preserve">Mega-hit anime.</t>
  </si>
  <si>
    <t xml:space="preserve">Attack on Titan (EN)</t>
  </si>
  <si>
    <t xml:space="preserve">AOT</t>
  </si>
  <si>
    <t xml:space="preserve">Eren/Levi/Mikasa SP</t>
  </si>
  <si>
    <t xml:space="preserve">Also appears in Union Arena (shared IP).</t>
  </si>
  <si>
    <t xml:space="preserve">Hololive Premium Booster Super Expo 2022 (JP)</t>
  </si>
  <si>
    <t xml:space="preserve">HOLPB</t>
  </si>
  <si>
    <t xml:space="preserve">Premium</t>
  </si>
  <si>
    <t xml:space="preserve">Premium JP</t>
  </si>
  <si>
    <t xml:space="preserve">All 53 talents SP</t>
  </si>
  <si>
    <t xml:space="preserve">JP-only premium. Trophy for completionists.</t>
  </si>
  <si>
    <t xml:space="preserve">Trial Decks (various IPs)</t>
  </si>
  <si>
    <t xml:space="preserve">TD</t>
  </si>
  <si>
    <t xml:space="preserve">2020-2026</t>
  </si>
  <si>
    <t xml:space="preserve">Trial Deck</t>
  </si>
  <si>
    <t xml:space="preserve">Lead-character promo</t>
  </si>
  <si>
    <t xml:space="preserve">New-IP entry; unique starter card.</t>
  </si>
  <si>
    <t xml:space="preserve">Re:Mix products</t>
  </si>
  <si>
    <t xml:space="preserve">RMX</t>
  </si>
  <si>
    <t xml:space="preserve">Reprint</t>
  </si>
  <si>
    <t xml:space="preserve">2021-2026</t>
  </si>
  <si>
    <t xml:space="preserve">Reprints from main sets</t>
  </si>
  <si>
    <t xml:space="preserve">Skip for coverage — low unique-card density.</t>
  </si>
  <si>
    <t xml:space="preserve">Union Arena — Sealed Coverage</t>
  </si>
  <si>
    <t xml:space="preserve">Bandai anime TCG, $57 MSRP base. Chase = serial gold-foil SR★★★. Holds Demon Slayer/JJK IPs (vs Weiss).</t>
  </si>
  <si>
    <t xml:space="preserve">Bleach: TYBW (EN)</t>
  </si>
  <si>
    <t xml:space="preserve">UE01BT</t>
  </si>
  <si>
    <t xml:space="preserve">BLEACH</t>
  </si>
  <si>
    <t xml:space="preserve">Ichigo, Yhwach SR</t>
  </si>
  <si>
    <t xml:space="preserve">Bleach revival tie-in.</t>
  </si>
  <si>
    <t xml:space="preserve">Jujutsu Kaisen (EN)</t>
  </si>
  <si>
    <t xml:space="preserve">UE03BT</t>
  </si>
  <si>
    <t xml:space="preserve">JJK</t>
  </si>
  <si>
    <t xml:space="preserve">Gojo, Sukuna SR</t>
  </si>
  <si>
    <t xml:space="preserve">JJK English.</t>
  </si>
  <si>
    <t xml:space="preserve">Demon Slayer Vol 1 (EN)</t>
  </si>
  <si>
    <t xml:space="preserve">UE05BT</t>
  </si>
  <si>
    <t xml:space="preserve">Demon Slayer</t>
  </si>
  <si>
    <t xml:space="preserve">Tanjiro, Rengoku SR</t>
  </si>
  <si>
    <t xml:space="preserve">$240 sealed at peak; normalized ~$60.</t>
  </si>
  <si>
    <t xml:space="preserve">Sword Art Online Vol 2 (EN)</t>
  </si>
  <si>
    <t xml:space="preserve">UEX06BT</t>
  </si>
  <si>
    <t xml:space="preserve">SAO</t>
  </si>
  <si>
    <t xml:space="preserve">Extra EN</t>
  </si>
  <si>
    <t xml:space="preserve">Alicization characters</t>
  </si>
  <si>
    <t xml:space="preserve">Evangelion (EN)</t>
  </si>
  <si>
    <t xml:space="preserve">UE-EVA</t>
  </si>
  <si>
    <t xml:space="preserve">Evangelion</t>
  </si>
  <si>
    <t xml:space="preserve">Shinji, Rei, Asuka SR</t>
  </si>
  <si>
    <t xml:space="preserve">Kaiju No. 8 (EN)</t>
  </si>
  <si>
    <t xml:space="preserve">UE12BT</t>
  </si>
  <si>
    <t xml:space="preserve">Kaiju No. 8</t>
  </si>
  <si>
    <t xml:space="preserve">Kafka, Kikoru SR</t>
  </si>
  <si>
    <t xml:space="preserve">12 cards/pack, 16 packs/display. Also a Weiss IP.</t>
  </si>
  <si>
    <t xml:space="preserve">InuYasha (EN)</t>
  </si>
  <si>
    <t xml:space="preserve">UE-INU</t>
  </si>
  <si>
    <t xml:space="preserve">InuYasha</t>
  </si>
  <si>
    <t xml:space="preserve">InuYasha, Kagome SR</t>
  </si>
  <si>
    <t xml:space="preserve">August 2026 set.</t>
  </si>
  <si>
    <t xml:space="preserve">Attack on Titan Vol 2 (EN)</t>
  </si>
  <si>
    <t xml:space="preserve">UE-AOT2</t>
  </si>
  <si>
    <t xml:space="preserve">Final-season characters</t>
  </si>
  <si>
    <t xml:space="preserve">Sept 2026 set.</t>
  </si>
  <si>
    <t xml:space="preserve">BLEACH: TYBW Vol 3 (EN)</t>
  </si>
  <si>
    <t xml:space="preserve">UE-BL3</t>
  </si>
  <si>
    <t xml:space="preserve">TYBW final arc + Advanced Deck</t>
  </si>
  <si>
    <t xml:space="preserve">Nov 2026; new all-foil Advanced Deck.</t>
  </si>
  <si>
    <t xml:space="preserve">2-Player Starter Sets</t>
  </si>
  <si>
    <t xml:space="preserve">UA-2P</t>
  </si>
  <si>
    <t xml:space="preserve">Starter</t>
  </si>
  <si>
    <t xml:space="preserve">Reprint of starter content</t>
  </si>
  <si>
    <t xml:space="preserve">Skip for coverage — no unique cards.</t>
  </si>
  <si>
    <t xml:space="preserve">Sports: Baseball — Sealed Coverage</t>
  </si>
  <si>
    <t xml:space="preserve">Topps/Fanatics MLB since 2023. Debut Patch (game-worn first-appearance, 1/1) is the marquee chase mechanic.</t>
  </si>
  <si>
    <t xml:space="preserve">Topps Series 1 (Fanatics era)</t>
  </si>
  <si>
    <t xml:space="preserve">TS1</t>
  </si>
  <si>
    <t xml:space="preserve">Flagship</t>
  </si>
  <si>
    <t xml:space="preserve">Hobby Box</t>
  </si>
  <si>
    <t xml:space="preserve">Debut Patch 1/1</t>
  </si>
  <si>
    <t xml:space="preserve">Fanatics-era flagship; broad distribution. Debut Patch is marquee chase.</t>
  </si>
  <si>
    <t xml:space="preserve">Bowman Chrome</t>
  </si>
  <si>
    <t xml:space="preserve">BOW</t>
  </si>
  <si>
    <t xml:space="preserve">Prospect</t>
  </si>
  <si>
    <t xml:space="preserve">Prospect 1st autos</t>
  </si>
  <si>
    <t xml:space="preserve">Prospect-focused; rookie-class dependent.</t>
  </si>
  <si>
    <t xml:space="preserve">Topps Chrome</t>
  </si>
  <si>
    <t xml:space="preserve">TC</t>
  </si>
  <si>
    <t xml:space="preserve">Flagship chrome</t>
  </si>
  <si>
    <t xml:space="preserve">Refractor rookies</t>
  </si>
  <si>
    <t xml:space="preserve">Chrome flagship under Fanatics.</t>
  </si>
  <si>
    <t xml:space="preserve">Debut Patch program</t>
  </si>
  <si>
    <t xml:space="preserve">DBP</t>
  </si>
  <si>
    <t xml:space="preserve">Insert</t>
  </si>
  <si>
    <t xml:space="preserve">Insert (1/1)</t>
  </si>
  <si>
    <t xml:space="preserve">Game-worn first-appearance patch</t>
  </si>
  <si>
    <t xml:space="preserve">Five-figure comparables. Speculative chase.</t>
  </si>
  <si>
    <t xml:space="preserve">Sports: Basketball — Sealed Coverage</t>
  </si>
  <si>
    <t xml:space="preserve">Fanatics/Topps took NBA from 2025-26. Final Panini Prizm carries finality premium; first Topps Chrome NBA is a reset.</t>
  </si>
  <si>
    <t xml:space="preserve">Panini Prizm Basketball 2024-25</t>
  </si>
  <si>
    <t xml:space="preserve">PRZ-NBA</t>
  </si>
  <si>
    <t xml:space="preserve">Final Panini</t>
  </si>
  <si>
    <t xml:space="preserve">Final Panini NBA rookies</t>
  </si>
  <si>
    <t xml:space="preserve">LAST NBA Prizm. Finality scarcity premium.</t>
  </si>
  <si>
    <t xml:space="preserve">Topps Chrome Basketball 2025-26</t>
  </si>
  <si>
    <t xml:space="preserve">TC-NBA</t>
  </si>
  <si>
    <t xml:space="preserve">First Fanatics</t>
  </si>
  <si>
    <t xml:space="preserve">First Topps NBA rookies in a decade</t>
  </si>
  <si>
    <t xml:space="preserve">Landmark "reset" rookie product under Fanatics.</t>
  </si>
  <si>
    <t xml:space="preserve">Sports: Football — Sealed Coverage</t>
  </si>
  <si>
    <t xml:space="preserve">Panini NFL exclusive ended Mar 31, 2026. "First-and-last Panini" rookies (Hunter, Sanders) are the speculative chase.</t>
  </si>
  <si>
    <t xml:space="preserve">Panini Prizm Football 2025-26</t>
  </si>
  <si>
    <t xml:space="preserve">PRZ-NFL</t>
  </si>
  <si>
    <t xml:space="preserve">Final Panini NFL rookies</t>
  </si>
  <si>
    <t xml:space="preserve">LAST NFL Prizm; sealed up ~20-40% on finality. Hunter/Sanders rookies.</t>
  </si>
  <si>
    <t xml:space="preserve">Panini Silhouette 2025 (last licensed)</t>
  </si>
  <si>
    <t xml:space="preserve">SIL-NFL</t>
  </si>
  <si>
    <t xml:space="preserve">Final licensed</t>
  </si>
  <si>
    <t xml:space="preserve">Last team-logo Panini NFL</t>
  </si>
  <si>
    <t xml:space="preserve">Final licensed Panini NFL product (Mar 27, 2026).</t>
  </si>
  <si>
    <t xml:space="preserve">Topps Chrome Football 2025</t>
  </si>
  <si>
    <t xml:space="preserve">TC-NFL</t>
  </si>
  <si>
    <t xml:space="preserve">First Fanatics NFL rookies</t>
  </si>
  <si>
    <t xml:space="preserve">First Fanatics-era NFL product (~Apr 15, 2026).</t>
  </si>
  <si>
    <t xml:space="preserve">Sports: Soccer — Sealed Coverage</t>
  </si>
  <si>
    <t xml:space="preserve">FIFA World Cup 2026 (Jun 11-Jul 19) drives the Panini wave. Tournament results move singles fastest. Topps takes FIFA in 2031.</t>
  </si>
  <si>
    <t xml:space="preserve">Panini Prizm FIFA World Cup 2026</t>
  </si>
  <si>
    <t xml:space="preserve">PRZ-WC</t>
  </si>
  <si>
    <t xml:space="preserve">World Cup</t>
  </si>
  <si>
    <t xml:space="preserve">~1 auto/box; host parallels</t>
  </si>
  <si>
    <t xml:space="preserve">500-card set, all 48 nations. Old Glory/Maple Leaf/Aguila host parallels. Last Panini WC before Topps (2031).</t>
  </si>
  <si>
    <t xml:space="preserve">Prizm Monopoly FIFA World Cup</t>
  </si>
  <si>
    <t xml:space="preserve">MONO-WC</t>
  </si>
  <si>
    <t xml:space="preserve">Monopoly-themed parallels</t>
  </si>
  <si>
    <t xml:space="preserve">Companion WC product.</t>
  </si>
  <si>
    <t xml:space="preserve">Road to FIFA World Cup 2026</t>
  </si>
  <si>
    <t xml:space="preserve">RTWC</t>
  </si>
  <si>
    <t xml:space="preserve">Qualification</t>
  </si>
  <si>
    <t xml:space="preserve">Qualification-phase autos</t>
  </si>
  <si>
    <t xml:space="preserve">Donruss/Select/National Treasures/Noir qualification collections.</t>
  </si>
  <si>
    <t xml:space="preserve">Panini Adrenalyn XL WC 2026</t>
  </si>
  <si>
    <t xml:space="preserve">ADR-WC</t>
  </si>
  <si>
    <t xml:space="preserve">Box</t>
  </si>
  <si>
    <t xml:space="preserve">630-card set</t>
  </si>
  <si>
    <t xml:space="preserve">Mass-market WC product + official sticker album.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</si>
</sst>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i val="true"/>
      <sz val="12"/>
      <color rgb="FF8B000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1E276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E0B2"/>
        <bgColor rgb="FFFFCDD2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FFE0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CDD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4" customFormat="false" ht="15" hidden="false" customHeight="false" outlineLevel="0" collapsed="false">
      <c r="A14" s="4" t="s">
        <v>5</v>
      </c>
    </row>
    <row r="15" customFormat="false" ht="15" hidden="false" customHeight="false" outlineLevel="0" collapsed="false">
      <c r="A15" s="6" t="s">
        <v>6</v>
      </c>
      <c r="B15" s="6" t="s">
        <v>7</v>
      </c>
    </row>
    <row r="16" customFormat="false" ht="15" hidden="false" customHeight="false" outlineLevel="0" collapsed="false">
      <c r="A16" s="7" t="s">
        <v>8</v>
      </c>
      <c r="B16" s="8" t="s">
        <v>9</v>
      </c>
    </row>
    <row r="17" customFormat="false" ht="15" hidden="false" customHeight="false" outlineLevel="0" collapsed="false">
      <c r="A17" s="7" t="s">
        <v>10</v>
      </c>
      <c r="B17" s="8" t="s">
        <v>11</v>
      </c>
    </row>
    <row r="18" customFormat="false" ht="15" hidden="false" customHeight="false" outlineLevel="0" collapsed="false">
      <c r="A18" s="7" t="s">
        <v>12</v>
      </c>
      <c r="B18" s="8" t="s">
        <v>13</v>
      </c>
    </row>
    <row r="19" customFormat="false" ht="15" hidden="false" customHeight="false" outlineLevel="0" collapsed="false">
      <c r="A19" s="7" t="s">
        <v>14</v>
      </c>
      <c r="B19" s="8" t="s">
        <v>15</v>
      </c>
    </row>
    <row r="20" customFormat="false" ht="15" hidden="false" customHeight="false" outlineLevel="0" collapsed="false">
      <c r="A20" s="7" t="s">
        <v>16</v>
      </c>
      <c r="B20" s="8" t="s">
        <v>17</v>
      </c>
    </row>
    <row r="21" customFormat="false" ht="15" hidden="false" customHeight="false" outlineLevel="0" collapsed="false">
      <c r="A21" s="7" t="s">
        <v>18</v>
      </c>
      <c r="B21" s="8" t="s">
        <v>19</v>
      </c>
    </row>
    <row r="22" customFormat="false" ht="15" hidden="false" customHeight="false" outlineLevel="0" collapsed="false">
      <c r="A22" s="7" t="s">
        <v>20</v>
      </c>
      <c r="B22" s="8" t="s">
        <v>21</v>
      </c>
    </row>
    <row r="23" customFormat="false" ht="15" hidden="false" customHeight="false" outlineLevel="0" collapsed="false">
      <c r="A23" s="7" t="s">
        <v>22</v>
      </c>
      <c r="B23" s="8" t="s">
        <v>23</v>
      </c>
    </row>
    <row r="24" customFormat="false" ht="15" hidden="false" customHeight="false" outlineLevel="0" collapsed="false">
      <c r="A24" s="7" t="s">
        <v>24</v>
      </c>
      <c r="B24" s="8" t="s">
        <v>25</v>
      </c>
    </row>
    <row r="25" customFormat="false" ht="15" hidden="false" customHeight="false" outlineLevel="0" collapsed="false">
      <c r="A25" s="7" t="s">
        <v>26</v>
      </c>
      <c r="B25" s="8" t="s">
        <v>27</v>
      </c>
    </row>
    <row r="26" customFormat="false" ht="15" hidden="false" customHeight="false" outlineLevel="0" collapsed="false">
      <c r="A26" s="7" t="s">
        <v>28</v>
      </c>
      <c r="B26" s="8" t="s">
        <v>29</v>
      </c>
    </row>
    <row r="27" customFormat="false" ht="15" hidden="false" customHeight="false" outlineLevel="0" collapsed="false">
      <c r="A27" s="7" t="s">
        <v>30</v>
      </c>
      <c r="B27" s="8" t="s">
        <v>31</v>
      </c>
    </row>
    <row r="28" customFormat="false" ht="15" hidden="false" customHeight="false" outlineLevel="0" collapsed="false">
      <c r="A28" s="7" t="s">
        <v>32</v>
      </c>
      <c r="B28" s="8" t="s">
        <v>33</v>
      </c>
    </row>
    <row r="29" customFormat="false" ht="15" hidden="false" customHeight="false" outlineLevel="0" collapsed="false">
      <c r="A29" s="7" t="s">
        <v>34</v>
      </c>
      <c r="B29" s="8" t="s">
        <v>35</v>
      </c>
    </row>
    <row r="30" customFormat="false" ht="15" hidden="false" customHeight="false" outlineLevel="0" collapsed="false">
      <c r="A30" s="7" t="s">
        <v>36</v>
      </c>
      <c r="B30" s="8" t="s">
        <v>37</v>
      </c>
    </row>
  </sheetData>
  <mergeCells count="3">
    <mergeCell ref="A1:F1"/>
    <mergeCell ref="A2:F2"/>
    <mergeCell ref="A7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23.85" hidden="false" customHeight="false" outlineLevel="0" collapsed="false">
      <c r="A5" s="8" t="s">
        <v>51</v>
      </c>
      <c r="B5" s="10" t="s">
        <v>52</v>
      </c>
      <c r="C5" s="10" t="s">
        <v>53</v>
      </c>
      <c r="D5" s="11" t="n">
        <v>36169</v>
      </c>
      <c r="E5" s="10" t="s">
        <v>54</v>
      </c>
      <c r="F5" s="12" t="n">
        <v>108</v>
      </c>
      <c r="G5" s="12" t="n">
        <v>8800</v>
      </c>
      <c r="H5" s="13" t="n">
        <f aca="false">IFERROR(G5/F5-1,"")</f>
        <v>80.4814814814815</v>
      </c>
      <c r="I5" s="14" t="s">
        <v>55</v>
      </c>
      <c r="J5" s="8" t="s">
        <v>56</v>
      </c>
      <c r="K5" s="8" t="s">
        <v>57</v>
      </c>
    </row>
    <row r="6" customFormat="false" ht="23.85" hidden="false" customHeight="false" outlineLevel="0" collapsed="false">
      <c r="A6" s="8" t="s">
        <v>58</v>
      </c>
      <c r="B6" s="10" t="s">
        <v>59</v>
      </c>
      <c r="C6" s="10" t="s">
        <v>53</v>
      </c>
      <c r="D6" s="11" t="n">
        <v>36327</v>
      </c>
      <c r="E6" s="10" t="s">
        <v>54</v>
      </c>
      <c r="F6" s="12" t="n">
        <v>108</v>
      </c>
      <c r="G6" s="12" t="n">
        <v>3200</v>
      </c>
      <c r="H6" s="13" t="n">
        <f aca="false">IFERROR(G6/F6-1,"")</f>
        <v>28.6296296296296</v>
      </c>
      <c r="I6" s="14" t="s">
        <v>55</v>
      </c>
      <c r="J6" s="8" t="s">
        <v>60</v>
      </c>
      <c r="K6" s="8" t="s">
        <v>61</v>
      </c>
    </row>
    <row r="7" customFormat="false" ht="15" hidden="false" customHeight="false" outlineLevel="0" collapsed="false">
      <c r="A7" s="8" t="s">
        <v>62</v>
      </c>
      <c r="B7" s="10" t="s">
        <v>63</v>
      </c>
      <c r="C7" s="10" t="s">
        <v>53</v>
      </c>
      <c r="D7" s="11" t="n">
        <v>36443</v>
      </c>
      <c r="E7" s="10" t="s">
        <v>54</v>
      </c>
      <c r="F7" s="12" t="n">
        <v>108</v>
      </c>
      <c r="G7" s="12" t="n">
        <v>3000</v>
      </c>
      <c r="H7" s="13" t="n">
        <f aca="false">IFERROR(G7/F7-1,"")</f>
        <v>26.7777777777778</v>
      </c>
      <c r="I7" s="14" t="s">
        <v>55</v>
      </c>
      <c r="J7" s="8" t="s">
        <v>64</v>
      </c>
      <c r="K7" s="8" t="s">
        <v>65</v>
      </c>
    </row>
    <row r="8" customFormat="false" ht="23.85" hidden="false" customHeight="false" outlineLevel="0" collapsed="false">
      <c r="A8" s="8" t="s">
        <v>66</v>
      </c>
      <c r="B8" s="10" t="s">
        <v>67</v>
      </c>
      <c r="C8" s="10" t="s">
        <v>68</v>
      </c>
      <c r="D8" s="11" t="n">
        <v>44435</v>
      </c>
      <c r="E8" s="10" t="s">
        <v>54</v>
      </c>
      <c r="F8" s="12" t="n">
        <v>143</v>
      </c>
      <c r="G8" s="12" t="n">
        <v>270</v>
      </c>
      <c r="H8" s="13" t="n">
        <f aca="false">IFERROR(G8/F8-1,"")</f>
        <v>0.888111888111888</v>
      </c>
      <c r="I8" s="15" t="s">
        <v>69</v>
      </c>
      <c r="J8" s="8" t="s">
        <v>70</v>
      </c>
      <c r="K8" s="8" t="s">
        <v>71</v>
      </c>
    </row>
    <row r="9" customFormat="false" ht="23.85" hidden="false" customHeight="false" outlineLevel="0" collapsed="false">
      <c r="A9" s="8" t="s">
        <v>72</v>
      </c>
      <c r="B9" s="10" t="s">
        <v>73</v>
      </c>
      <c r="C9" s="10" t="s">
        <v>74</v>
      </c>
      <c r="D9" s="11" t="n">
        <v>43700</v>
      </c>
      <c r="E9" s="10" t="s">
        <v>75</v>
      </c>
      <c r="F9" s="12" t="n">
        <v>40</v>
      </c>
      <c r="G9" s="12" t="n">
        <v>130</v>
      </c>
      <c r="H9" s="13" t="n">
        <f aca="false">IFERROR(G9/F9-1,"")</f>
        <v>2.25</v>
      </c>
      <c r="I9" s="15" t="s">
        <v>69</v>
      </c>
      <c r="J9" s="8" t="s">
        <v>76</v>
      </c>
      <c r="K9" s="8" t="s">
        <v>77</v>
      </c>
    </row>
    <row r="10" customFormat="false" ht="15" hidden="false" customHeight="false" outlineLevel="0" collapsed="false">
      <c r="A10" s="8" t="s">
        <v>78</v>
      </c>
      <c r="B10" s="10" t="s">
        <v>79</v>
      </c>
      <c r="C10" s="10" t="s">
        <v>68</v>
      </c>
      <c r="D10" s="11" t="n">
        <v>44946</v>
      </c>
      <c r="E10" s="10" t="s">
        <v>75</v>
      </c>
      <c r="F10" s="12" t="n">
        <v>50</v>
      </c>
      <c r="G10" s="12" t="n">
        <v>95</v>
      </c>
      <c r="H10" s="13" t="n">
        <f aca="false">IFERROR(G10/F10-1,"")</f>
        <v>0.9</v>
      </c>
      <c r="I10" s="15" t="s">
        <v>69</v>
      </c>
      <c r="J10" s="8" t="s">
        <v>80</v>
      </c>
      <c r="K10" s="8" t="s">
        <v>81</v>
      </c>
    </row>
    <row r="11" customFormat="false" ht="23.85" hidden="false" customHeight="false" outlineLevel="0" collapsed="false">
      <c r="A11" s="8" t="s">
        <v>82</v>
      </c>
      <c r="B11" s="10" t="s">
        <v>83</v>
      </c>
      <c r="C11" s="10" t="s">
        <v>84</v>
      </c>
      <c r="D11" s="11" t="n">
        <v>45093</v>
      </c>
      <c r="E11" s="10" t="s">
        <v>85</v>
      </c>
      <c r="F11" s="12" t="n">
        <v>50</v>
      </c>
      <c r="G11" s="12" t="n">
        <v>437</v>
      </c>
      <c r="H11" s="13" t="n">
        <f aca="false">IFERROR(G11/F11-1,"")</f>
        <v>7.74</v>
      </c>
      <c r="I11" s="15" t="s">
        <v>69</v>
      </c>
      <c r="J11" s="8" t="s">
        <v>86</v>
      </c>
      <c r="K11" s="8" t="s">
        <v>87</v>
      </c>
    </row>
    <row r="12" customFormat="false" ht="23.85" hidden="false" customHeight="false" outlineLevel="0" collapsed="false">
      <c r="A12" s="8" t="s">
        <v>88</v>
      </c>
      <c r="B12" s="10" t="s">
        <v>89</v>
      </c>
      <c r="C12" s="10" t="s">
        <v>84</v>
      </c>
      <c r="D12" s="11" t="n">
        <v>45674</v>
      </c>
      <c r="E12" s="10" t="s">
        <v>85</v>
      </c>
      <c r="F12" s="12" t="n">
        <v>50</v>
      </c>
      <c r="G12" s="12" t="n">
        <v>143</v>
      </c>
      <c r="H12" s="13" t="n">
        <f aca="false">IFERROR(G12/F12-1,"")</f>
        <v>1.86</v>
      </c>
      <c r="I12" s="15" t="s">
        <v>69</v>
      </c>
      <c r="J12" s="8" t="s">
        <v>90</v>
      </c>
      <c r="K12" s="8" t="s">
        <v>91</v>
      </c>
    </row>
    <row r="13" customFormat="false" ht="15" hidden="false" customHeight="false" outlineLevel="0" collapsed="false">
      <c r="A13" s="8" t="s">
        <v>92</v>
      </c>
      <c r="B13" s="10" t="s">
        <v>93</v>
      </c>
      <c r="C13" s="10" t="s">
        <v>84</v>
      </c>
      <c r="D13" s="11" t="n">
        <v>45744</v>
      </c>
      <c r="E13" s="10" t="s">
        <v>54</v>
      </c>
      <c r="F13" s="12" t="n">
        <v>160</v>
      </c>
      <c r="G13" s="12" t="n">
        <v>236</v>
      </c>
      <c r="H13" s="13" t="n">
        <f aca="false">IFERROR(G13/F13-1,"")</f>
        <v>0.475</v>
      </c>
      <c r="I13" s="15" t="s">
        <v>69</v>
      </c>
      <c r="J13" s="8" t="s">
        <v>94</v>
      </c>
      <c r="K13" s="8" t="s">
        <v>95</v>
      </c>
    </row>
    <row r="14" customFormat="false" ht="23.85" hidden="false" customHeight="false" outlineLevel="0" collapsed="false">
      <c r="A14" s="8" t="s">
        <v>96</v>
      </c>
      <c r="B14" s="10" t="s">
        <v>97</v>
      </c>
      <c r="C14" s="10" t="s">
        <v>84</v>
      </c>
      <c r="D14" s="11" t="n">
        <v>45807</v>
      </c>
      <c r="E14" s="10" t="s">
        <v>54</v>
      </c>
      <c r="F14" s="12" t="n">
        <v>160</v>
      </c>
      <c r="G14" s="12" t="n">
        <v>503</v>
      </c>
      <c r="H14" s="13" t="n">
        <f aca="false">IFERROR(G14/F14-1,"")</f>
        <v>2.14375</v>
      </c>
      <c r="I14" s="16" t="s">
        <v>98</v>
      </c>
      <c r="J14" s="8" t="s">
        <v>99</v>
      </c>
      <c r="K14" s="8" t="s">
        <v>100</v>
      </c>
    </row>
    <row r="15" customFormat="false" ht="23.85" hidden="false" customHeight="false" outlineLevel="0" collapsed="false">
      <c r="A15" s="8" t="s">
        <v>101</v>
      </c>
      <c r="B15" s="10" t="s">
        <v>102</v>
      </c>
      <c r="C15" s="10" t="s">
        <v>101</v>
      </c>
      <c r="D15" s="11" t="n">
        <v>45926</v>
      </c>
      <c r="E15" s="10" t="s">
        <v>54</v>
      </c>
      <c r="F15" s="12" t="n">
        <v>160</v>
      </c>
      <c r="G15" s="12" t="n">
        <v>175</v>
      </c>
      <c r="H15" s="13" t="n">
        <f aca="false">IFERROR(G15/F15-1,"")</f>
        <v>0.09375</v>
      </c>
      <c r="I15" s="15" t="s">
        <v>69</v>
      </c>
      <c r="J15" s="8" t="s">
        <v>103</v>
      </c>
      <c r="K15" s="8" t="s">
        <v>104</v>
      </c>
    </row>
    <row r="16" customFormat="false" ht="15" hidden="false" customHeight="false" outlineLevel="0" collapsed="false">
      <c r="A16" s="8" t="s">
        <v>105</v>
      </c>
      <c r="B16" s="10" t="s">
        <v>106</v>
      </c>
      <c r="C16" s="10" t="s">
        <v>101</v>
      </c>
      <c r="D16" s="11" t="n">
        <v>46052</v>
      </c>
      <c r="E16" s="10" t="s">
        <v>54</v>
      </c>
      <c r="F16" s="12" t="n">
        <v>160</v>
      </c>
      <c r="G16" s="12" t="n">
        <v>165</v>
      </c>
      <c r="H16" s="13" t="n">
        <f aca="false">IFERROR(G16/F16-1,"")</f>
        <v>0.03125</v>
      </c>
      <c r="I16" s="15" t="s">
        <v>69</v>
      </c>
      <c r="J16" s="8" t="s">
        <v>107</v>
      </c>
      <c r="K16" s="8" t="s">
        <v>108</v>
      </c>
    </row>
    <row r="17" customFormat="false" ht="15" hidden="false" customHeight="false" outlineLevel="0" collapsed="false">
      <c r="A17" s="8" t="s">
        <v>109</v>
      </c>
      <c r="B17" s="10" t="s">
        <v>110</v>
      </c>
      <c r="C17" s="10" t="s">
        <v>101</v>
      </c>
      <c r="D17" s="11" t="n">
        <v>46094</v>
      </c>
      <c r="E17" s="10" t="s">
        <v>54</v>
      </c>
      <c r="F17" s="12" t="n">
        <v>160</v>
      </c>
      <c r="G17" s="12" t="n">
        <v>160</v>
      </c>
      <c r="H17" s="13" t="n">
        <f aca="false">IFERROR(G17/F17-1,"")</f>
        <v>0</v>
      </c>
      <c r="I17" s="15" t="s">
        <v>69</v>
      </c>
      <c r="J17" s="8" t="s">
        <v>111</v>
      </c>
      <c r="K17" s="8" t="s">
        <v>112</v>
      </c>
    </row>
    <row r="18" customFormat="false" ht="15" hidden="false" customHeight="false" outlineLevel="0" collapsed="false">
      <c r="A18" s="8" t="s">
        <v>113</v>
      </c>
      <c r="B18" s="10" t="s">
        <v>114</v>
      </c>
      <c r="C18" s="10" t="s">
        <v>101</v>
      </c>
      <c r="D18" s="11" t="n">
        <v>46108</v>
      </c>
      <c r="E18" s="10" t="s">
        <v>54</v>
      </c>
      <c r="F18" s="12" t="n">
        <v>160</v>
      </c>
      <c r="G18" s="12" t="n">
        <v>160</v>
      </c>
      <c r="H18" s="13" t="n">
        <f aca="false">IFERROR(G18/F18-1,"")</f>
        <v>0</v>
      </c>
      <c r="I18" s="15" t="s">
        <v>69</v>
      </c>
      <c r="J18" s="8" t="s">
        <v>115</v>
      </c>
      <c r="K18" s="8" t="s">
        <v>116</v>
      </c>
    </row>
    <row r="19" customFormat="false" ht="15" hidden="false" customHeight="false" outlineLevel="0" collapsed="false">
      <c r="A19" s="8" t="s">
        <v>117</v>
      </c>
      <c r="B19" s="10" t="s">
        <v>118</v>
      </c>
      <c r="C19" s="10" t="s">
        <v>101</v>
      </c>
      <c r="D19" s="11" t="n">
        <v>46164</v>
      </c>
      <c r="E19" s="10" t="s">
        <v>54</v>
      </c>
      <c r="F19" s="12" t="n">
        <v>160</v>
      </c>
      <c r="G19" s="12" t="n">
        <v>160</v>
      </c>
      <c r="H19" s="13" t="n">
        <f aca="false">IFERROR(G19/F19-1,"")</f>
        <v>0</v>
      </c>
      <c r="I19" s="15" t="s">
        <v>69</v>
      </c>
      <c r="J19" s="8" t="s">
        <v>119</v>
      </c>
      <c r="K19" s="8" t="s">
        <v>120</v>
      </c>
    </row>
    <row r="20" customFormat="false" ht="15" hidden="false" customHeight="false" outlineLevel="0" collapsed="false">
      <c r="A20" s="8" t="s">
        <v>121</v>
      </c>
      <c r="B20" s="10" t="s">
        <v>122</v>
      </c>
      <c r="C20" s="10" t="s">
        <v>101</v>
      </c>
      <c r="D20" s="11" t="n">
        <v>46220</v>
      </c>
      <c r="E20" s="10" t="s">
        <v>54</v>
      </c>
      <c r="F20" s="12" t="n">
        <v>160</v>
      </c>
      <c r="G20" s="12"/>
      <c r="H20" s="13"/>
      <c r="I20" s="15" t="s">
        <v>69</v>
      </c>
      <c r="J20" s="8" t="s">
        <v>123</v>
      </c>
      <c r="K20" s="8" t="s">
        <v>124</v>
      </c>
    </row>
    <row r="21" customFormat="false" ht="35.05" hidden="false" customHeight="false" outlineLevel="0" collapsed="false">
      <c r="A21" s="8" t="s">
        <v>125</v>
      </c>
      <c r="B21" s="10" t="s">
        <v>126</v>
      </c>
      <c r="C21" s="10" t="s">
        <v>127</v>
      </c>
      <c r="D21" s="11" t="n">
        <v>46281</v>
      </c>
      <c r="E21" s="10" t="s">
        <v>128</v>
      </c>
      <c r="F21" s="12" t="n">
        <v>50</v>
      </c>
      <c r="G21" s="12"/>
      <c r="H21" s="13"/>
      <c r="I21" s="15" t="s">
        <v>69</v>
      </c>
      <c r="J21" s="8" t="s">
        <v>129</v>
      </c>
      <c r="K21" s="8" t="s">
        <v>130</v>
      </c>
    </row>
    <row r="22" customFormat="false" ht="15" hidden="false" customHeight="false" outlineLevel="0" collapsed="false">
      <c r="A22" s="8" t="s">
        <v>131</v>
      </c>
      <c r="B22" s="10" t="s">
        <v>132</v>
      </c>
      <c r="C22" s="10" t="s">
        <v>101</v>
      </c>
      <c r="D22" s="11" t="n">
        <v>46295</v>
      </c>
      <c r="E22" s="10" t="s">
        <v>54</v>
      </c>
      <c r="F22" s="12" t="n">
        <v>160</v>
      </c>
      <c r="G22" s="12"/>
      <c r="H22" s="13"/>
      <c r="I22" s="15" t="s">
        <v>69</v>
      </c>
      <c r="J22" s="8" t="s">
        <v>133</v>
      </c>
      <c r="K22" s="8" t="s">
        <v>134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135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137</v>
      </c>
      <c r="B5" s="10" t="s">
        <v>138</v>
      </c>
      <c r="C5" s="10" t="s">
        <v>139</v>
      </c>
      <c r="D5" s="11" t="n">
        <v>34186</v>
      </c>
      <c r="E5" s="10" t="s">
        <v>54</v>
      </c>
      <c r="F5" s="12" t="n">
        <v>108</v>
      </c>
      <c r="G5" s="12" t="n">
        <v>700000</v>
      </c>
      <c r="H5" s="13" t="n">
        <f aca="false">IFERROR(G5/F5-1,"")</f>
        <v>6480.48148148148</v>
      </c>
      <c r="I5" s="14" t="s">
        <v>55</v>
      </c>
      <c r="J5" s="8" t="s">
        <v>140</v>
      </c>
      <c r="K5" s="8" t="s">
        <v>141</v>
      </c>
    </row>
    <row r="6" customFormat="false" ht="15" hidden="false" customHeight="false" outlineLevel="0" collapsed="false">
      <c r="A6" s="8" t="s">
        <v>142</v>
      </c>
      <c r="B6" s="10" t="s">
        <v>143</v>
      </c>
      <c r="C6" s="10" t="s">
        <v>139</v>
      </c>
      <c r="D6" s="11" t="n">
        <v>34246</v>
      </c>
      <c r="E6" s="10" t="s">
        <v>54</v>
      </c>
      <c r="F6" s="12" t="n">
        <v>108</v>
      </c>
      <c r="G6" s="12" t="n">
        <v>500000</v>
      </c>
      <c r="H6" s="13" t="n">
        <f aca="false">IFERROR(G6/F6-1,"")</f>
        <v>4628.62962962963</v>
      </c>
      <c r="I6" s="14" t="s">
        <v>55</v>
      </c>
      <c r="J6" s="8" t="s">
        <v>144</v>
      </c>
      <c r="K6" s="8" t="s">
        <v>145</v>
      </c>
    </row>
    <row r="7" customFormat="false" ht="15" hidden="false" customHeight="false" outlineLevel="0" collapsed="false">
      <c r="A7" s="8" t="s">
        <v>146</v>
      </c>
      <c r="B7" s="10" t="s">
        <v>147</v>
      </c>
      <c r="C7" s="10" t="s">
        <v>139</v>
      </c>
      <c r="D7" s="11" t="n">
        <v>34304</v>
      </c>
      <c r="E7" s="10" t="s">
        <v>54</v>
      </c>
      <c r="F7" s="12" t="n">
        <v>108</v>
      </c>
      <c r="G7" s="12" t="n">
        <v>120000</v>
      </c>
      <c r="H7" s="13" t="n">
        <f aca="false">IFERROR(G7/F7-1,"")</f>
        <v>1110.11111111111</v>
      </c>
      <c r="I7" s="14" t="s">
        <v>55</v>
      </c>
      <c r="J7" s="8" t="s">
        <v>148</v>
      </c>
      <c r="K7" s="8" t="s">
        <v>149</v>
      </c>
    </row>
    <row r="8" customFormat="false" ht="15" hidden="false" customHeight="false" outlineLevel="0" collapsed="false">
      <c r="A8" s="8" t="s">
        <v>150</v>
      </c>
      <c r="B8" s="10" t="s">
        <v>151</v>
      </c>
      <c r="C8" s="10" t="s">
        <v>139</v>
      </c>
      <c r="D8" s="11" t="n">
        <v>34486</v>
      </c>
      <c r="E8" s="10" t="s">
        <v>54</v>
      </c>
      <c r="F8" s="12" t="n">
        <v>108</v>
      </c>
      <c r="G8" s="12" t="n">
        <v>3800</v>
      </c>
      <c r="H8" s="13" t="n">
        <f aca="false">IFERROR(G8/F8-1,"")</f>
        <v>34.1851851851852</v>
      </c>
      <c r="I8" s="14" t="s">
        <v>55</v>
      </c>
      <c r="J8" s="8" t="s">
        <v>152</v>
      </c>
      <c r="K8" s="8" t="s">
        <v>153</v>
      </c>
    </row>
    <row r="9" customFormat="false" ht="15" hidden="false" customHeight="false" outlineLevel="0" collapsed="false">
      <c r="A9" s="8" t="s">
        <v>154</v>
      </c>
      <c r="B9" s="10" t="s">
        <v>155</v>
      </c>
      <c r="C9" s="10" t="s">
        <v>156</v>
      </c>
      <c r="D9" s="11" t="n">
        <v>45457</v>
      </c>
      <c r="E9" s="10" t="s">
        <v>157</v>
      </c>
      <c r="F9" s="12" t="n">
        <v>280</v>
      </c>
      <c r="G9" s="12" t="n">
        <v>428</v>
      </c>
      <c r="H9" s="13" t="n">
        <f aca="false">IFERROR(G9/F9-1,"")</f>
        <v>0.528571428571429</v>
      </c>
      <c r="I9" s="16" t="s">
        <v>98</v>
      </c>
      <c r="J9" s="8" t="s">
        <v>158</v>
      </c>
      <c r="K9" s="8" t="s">
        <v>159</v>
      </c>
    </row>
    <row r="10" customFormat="false" ht="15" hidden="false" customHeight="false" outlineLevel="0" collapsed="false">
      <c r="A10" s="8" t="s">
        <v>160</v>
      </c>
      <c r="B10" s="10" t="s">
        <v>161</v>
      </c>
      <c r="C10" s="10" t="s">
        <v>162</v>
      </c>
      <c r="D10" s="11" t="n">
        <v>45611</v>
      </c>
      <c r="E10" s="10" t="s">
        <v>163</v>
      </c>
      <c r="F10" s="12" t="n">
        <v>130</v>
      </c>
      <c r="G10" s="12" t="n">
        <v>130</v>
      </c>
      <c r="H10" s="13" t="n">
        <f aca="false">IFERROR(G10/F10-1,"")</f>
        <v>0</v>
      </c>
      <c r="I10" s="15" t="s">
        <v>69</v>
      </c>
      <c r="J10" s="8" t="s">
        <v>164</v>
      </c>
      <c r="K10" s="8" t="s">
        <v>165</v>
      </c>
    </row>
    <row r="11" customFormat="false" ht="15" hidden="false" customHeight="false" outlineLevel="0" collapsed="false">
      <c r="A11" s="8" t="s">
        <v>166</v>
      </c>
      <c r="B11" s="10" t="s">
        <v>167</v>
      </c>
      <c r="C11" s="10" t="s">
        <v>168</v>
      </c>
      <c r="D11" s="11" t="n">
        <v>45506</v>
      </c>
      <c r="E11" s="10" t="s">
        <v>163</v>
      </c>
      <c r="F11" s="12" t="n">
        <v>130</v>
      </c>
      <c r="G11" s="12" t="n">
        <v>130</v>
      </c>
      <c r="H11" s="13" t="n">
        <f aca="false">IFERROR(G11/F11-1,"")</f>
        <v>0</v>
      </c>
      <c r="I11" s="15" t="s">
        <v>69</v>
      </c>
      <c r="J11" s="8" t="s">
        <v>169</v>
      </c>
      <c r="K11" s="8" t="s">
        <v>170</v>
      </c>
    </row>
    <row r="12" customFormat="false" ht="15" hidden="false" customHeight="false" outlineLevel="0" collapsed="false">
      <c r="A12" s="8" t="s">
        <v>171</v>
      </c>
      <c r="B12" s="10" t="s">
        <v>172</v>
      </c>
      <c r="C12" s="10" t="s">
        <v>168</v>
      </c>
      <c r="D12" s="11" t="n">
        <v>45562</v>
      </c>
      <c r="E12" s="10" t="s">
        <v>163</v>
      </c>
      <c r="F12" s="12" t="n">
        <v>130</v>
      </c>
      <c r="G12" s="12" t="n">
        <v>125</v>
      </c>
      <c r="H12" s="13" t="n">
        <f aca="false">IFERROR(G12/F12-1,"")</f>
        <v>-0.0384615384615384</v>
      </c>
      <c r="I12" s="15" t="s">
        <v>69</v>
      </c>
      <c r="J12" s="8" t="s">
        <v>173</v>
      </c>
      <c r="K12" s="8" t="s">
        <v>174</v>
      </c>
    </row>
    <row r="13" customFormat="false" ht="23.85" hidden="false" customHeight="false" outlineLevel="0" collapsed="false">
      <c r="A13" s="8" t="s">
        <v>175</v>
      </c>
      <c r="B13" s="10" t="s">
        <v>176</v>
      </c>
      <c r="C13" s="10" t="s">
        <v>168</v>
      </c>
      <c r="D13" s="11" t="n">
        <v>45758</v>
      </c>
      <c r="E13" s="10" t="s">
        <v>163</v>
      </c>
      <c r="F13" s="12" t="n">
        <v>170</v>
      </c>
      <c r="G13" s="12" t="n">
        <v>170</v>
      </c>
      <c r="H13" s="13" t="n">
        <f aca="false">IFERROR(G13/F13-1,"")</f>
        <v>0</v>
      </c>
      <c r="I13" s="15" t="s">
        <v>69</v>
      </c>
      <c r="J13" s="8" t="s">
        <v>177</v>
      </c>
      <c r="K13" s="8" t="s">
        <v>178</v>
      </c>
    </row>
    <row r="14" customFormat="false" ht="23.85" hidden="false" customHeight="false" outlineLevel="0" collapsed="false">
      <c r="A14" s="8" t="s">
        <v>179</v>
      </c>
      <c r="B14" s="10" t="s">
        <v>180</v>
      </c>
      <c r="C14" s="10" t="s">
        <v>181</v>
      </c>
      <c r="D14" s="11" t="n">
        <v>45821</v>
      </c>
      <c r="E14" s="10" t="s">
        <v>157</v>
      </c>
      <c r="F14" s="12" t="n">
        <v>814</v>
      </c>
      <c r="G14" s="12" t="n">
        <v>1175</v>
      </c>
      <c r="H14" s="13" t="n">
        <f aca="false">IFERROR(G14/F14-1,"")</f>
        <v>0.443488943488944</v>
      </c>
      <c r="I14" s="14" t="s">
        <v>55</v>
      </c>
      <c r="J14" s="8" t="s">
        <v>182</v>
      </c>
      <c r="K14" s="8" t="s">
        <v>183</v>
      </c>
    </row>
    <row r="15" customFormat="false" ht="15" hidden="false" customHeight="false" outlineLevel="0" collapsed="false">
      <c r="A15" s="8" t="s">
        <v>184</v>
      </c>
      <c r="B15" s="10" t="s">
        <v>185</v>
      </c>
      <c r="C15" s="10" t="s">
        <v>186</v>
      </c>
      <c r="D15" s="11" t="n">
        <v>46136</v>
      </c>
      <c r="E15" s="10" t="s">
        <v>157</v>
      </c>
      <c r="F15" s="12" t="n">
        <v>280</v>
      </c>
      <c r="G15" s="12" t="n">
        <v>648</v>
      </c>
      <c r="H15" s="13" t="n">
        <f aca="false">IFERROR(G15/F15-1,"")</f>
        <v>1.31428571428571</v>
      </c>
      <c r="I15" s="16" t="s">
        <v>98</v>
      </c>
      <c r="J15" s="8" t="s">
        <v>187</v>
      </c>
      <c r="K15" s="8" t="s">
        <v>188</v>
      </c>
    </row>
    <row r="16" customFormat="false" ht="15" hidden="false" customHeight="false" outlineLevel="0" collapsed="false">
      <c r="A16" s="8" t="s">
        <v>189</v>
      </c>
      <c r="B16" s="10" t="s">
        <v>190</v>
      </c>
      <c r="C16" s="10" t="s">
        <v>168</v>
      </c>
      <c r="D16" s="11" t="n">
        <v>46045</v>
      </c>
      <c r="E16" s="10" t="s">
        <v>163</v>
      </c>
      <c r="F16" s="12" t="n">
        <v>170</v>
      </c>
      <c r="G16" s="12" t="n">
        <v>170</v>
      </c>
      <c r="H16" s="13" t="n">
        <f aca="false">IFERROR(G16/F16-1,"")</f>
        <v>0</v>
      </c>
      <c r="I16" s="15" t="s">
        <v>69</v>
      </c>
      <c r="J16" s="8" t="s">
        <v>191</v>
      </c>
      <c r="K16" s="8" t="s">
        <v>192</v>
      </c>
    </row>
    <row r="17" customFormat="false" ht="15" hidden="false" customHeight="false" outlineLevel="0" collapsed="false">
      <c r="A17" s="8" t="s">
        <v>193</v>
      </c>
      <c r="B17" s="10" t="s">
        <v>194</v>
      </c>
      <c r="C17" s="10" t="s">
        <v>181</v>
      </c>
      <c r="D17" s="11" t="n">
        <v>46087</v>
      </c>
      <c r="E17" s="10" t="s">
        <v>157</v>
      </c>
      <c r="F17" s="12" t="n">
        <v>280</v>
      </c>
      <c r="G17" s="12" t="n">
        <v>300</v>
      </c>
      <c r="H17" s="13" t="n">
        <f aca="false">IFERROR(G17/F17-1,"")</f>
        <v>0.0714285714285714</v>
      </c>
      <c r="I17" s="16" t="s">
        <v>98</v>
      </c>
      <c r="J17" s="8" t="s">
        <v>195</v>
      </c>
      <c r="K17" s="8" t="s">
        <v>196</v>
      </c>
    </row>
    <row r="18" customFormat="false" ht="15" hidden="false" customHeight="false" outlineLevel="0" collapsed="false">
      <c r="A18" s="8" t="s">
        <v>197</v>
      </c>
      <c r="B18" s="10" t="s">
        <v>198</v>
      </c>
      <c r="C18" s="10" t="s">
        <v>168</v>
      </c>
      <c r="D18" s="11" t="n">
        <v>46136</v>
      </c>
      <c r="E18" s="10" t="s">
        <v>163</v>
      </c>
      <c r="F18" s="12" t="n">
        <v>170</v>
      </c>
      <c r="G18" s="12" t="n">
        <v>170</v>
      </c>
      <c r="H18" s="13" t="n">
        <f aca="false">IFERROR(G18/F18-1,"")</f>
        <v>0</v>
      </c>
      <c r="I18" s="16" t="s">
        <v>98</v>
      </c>
      <c r="J18" s="8" t="s">
        <v>199</v>
      </c>
      <c r="K18" s="8" t="s">
        <v>200</v>
      </c>
    </row>
    <row r="19" customFormat="false" ht="15" hidden="false" customHeight="false" outlineLevel="0" collapsed="false">
      <c r="A19" s="8" t="s">
        <v>201</v>
      </c>
      <c r="B19" s="10" t="s">
        <v>202</v>
      </c>
      <c r="C19" s="10" t="s">
        <v>181</v>
      </c>
      <c r="D19" s="11" t="n">
        <v>46199</v>
      </c>
      <c r="E19" s="10" t="s">
        <v>157</v>
      </c>
      <c r="F19" s="12" t="n">
        <v>280</v>
      </c>
      <c r="G19" s="12"/>
      <c r="H19" s="13"/>
      <c r="I19" s="16" t="s">
        <v>98</v>
      </c>
      <c r="J19" s="8" t="s">
        <v>203</v>
      </c>
      <c r="K19" s="8" t="s">
        <v>204</v>
      </c>
    </row>
    <row r="20" customFormat="false" ht="15" hidden="false" customHeight="false" outlineLevel="0" collapsed="false">
      <c r="A20" s="8" t="s">
        <v>205</v>
      </c>
      <c r="B20" s="10" t="s">
        <v>206</v>
      </c>
      <c r="C20" s="10" t="s">
        <v>181</v>
      </c>
      <c r="D20" s="11" t="n">
        <v>46235</v>
      </c>
      <c r="E20" s="10" t="s">
        <v>157</v>
      </c>
      <c r="F20" s="12" t="n">
        <v>280</v>
      </c>
      <c r="G20" s="12"/>
      <c r="H20" s="13"/>
      <c r="I20" s="16" t="s">
        <v>98</v>
      </c>
      <c r="J20" s="8" t="s">
        <v>207</v>
      </c>
      <c r="K20" s="8" t="s">
        <v>208</v>
      </c>
    </row>
    <row r="21" customFormat="false" ht="15" hidden="false" customHeight="false" outlineLevel="0" collapsed="false">
      <c r="A21" s="8" t="s">
        <v>209</v>
      </c>
      <c r="B21" s="10" t="s">
        <v>210</v>
      </c>
      <c r="C21" s="10" t="s">
        <v>168</v>
      </c>
      <c r="D21" s="11" t="n">
        <v>46297</v>
      </c>
      <c r="E21" s="10" t="s">
        <v>163</v>
      </c>
      <c r="F21" s="12" t="n">
        <v>170</v>
      </c>
      <c r="G21" s="12"/>
      <c r="H21" s="13"/>
      <c r="I21" s="16" t="s">
        <v>98</v>
      </c>
      <c r="J21" s="8" t="s">
        <v>211</v>
      </c>
      <c r="K21" s="8" t="s">
        <v>212</v>
      </c>
    </row>
    <row r="22" customFormat="false" ht="15" hidden="false" customHeight="false" outlineLevel="0" collapsed="false">
      <c r="A22" s="8" t="s">
        <v>213</v>
      </c>
      <c r="B22" s="10" t="s">
        <v>214</v>
      </c>
      <c r="C22" s="10" t="s">
        <v>181</v>
      </c>
      <c r="D22" s="11" t="n">
        <v>46346</v>
      </c>
      <c r="E22" s="10" t="s">
        <v>157</v>
      </c>
      <c r="F22" s="12" t="n">
        <v>280</v>
      </c>
      <c r="G22" s="12"/>
      <c r="H22" s="13"/>
      <c r="I22" s="16" t="s">
        <v>98</v>
      </c>
      <c r="J22" s="8" t="s">
        <v>215</v>
      </c>
      <c r="K22" s="8" t="s">
        <v>216</v>
      </c>
    </row>
  </sheetData>
  <autoFilter ref="A4:K2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217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219</v>
      </c>
      <c r="B5" s="10" t="s">
        <v>220</v>
      </c>
      <c r="C5" s="10" t="s">
        <v>221</v>
      </c>
      <c r="D5" s="11" t="n">
        <v>37323</v>
      </c>
      <c r="E5" s="10" t="s">
        <v>54</v>
      </c>
      <c r="F5" s="12"/>
      <c r="G5" s="12" t="n">
        <v>25000</v>
      </c>
      <c r="H5" s="13"/>
      <c r="I5" s="14" t="s">
        <v>55</v>
      </c>
      <c r="J5" s="8" t="s">
        <v>222</v>
      </c>
      <c r="K5" s="8" t="s">
        <v>223</v>
      </c>
    </row>
    <row r="6" customFormat="false" ht="15" hidden="false" customHeight="false" outlineLevel="0" collapsed="false">
      <c r="A6" s="8" t="s">
        <v>224</v>
      </c>
      <c r="B6" s="10" t="s">
        <v>225</v>
      </c>
      <c r="C6" s="10" t="s">
        <v>221</v>
      </c>
      <c r="D6" s="11" t="n">
        <v>38047</v>
      </c>
      <c r="E6" s="10" t="s">
        <v>54</v>
      </c>
      <c r="F6" s="12"/>
      <c r="G6" s="12" t="n">
        <v>6000</v>
      </c>
      <c r="H6" s="13"/>
      <c r="I6" s="14" t="s">
        <v>55</v>
      </c>
      <c r="J6" s="8" t="s">
        <v>226</v>
      </c>
      <c r="K6" s="8" t="s">
        <v>227</v>
      </c>
    </row>
    <row r="7" customFormat="false" ht="23.85" hidden="false" customHeight="false" outlineLevel="0" collapsed="false">
      <c r="A7" s="8" t="s">
        <v>228</v>
      </c>
      <c r="B7" s="10" t="s">
        <v>229</v>
      </c>
      <c r="C7" s="10" t="s">
        <v>230</v>
      </c>
      <c r="D7" s="11" t="n">
        <v>45317</v>
      </c>
      <c r="E7" s="10" t="s">
        <v>54</v>
      </c>
      <c r="F7" s="12" t="n">
        <v>120</v>
      </c>
      <c r="G7" s="12" t="n">
        <v>140</v>
      </c>
      <c r="H7" s="13" t="n">
        <f aca="false">IFERROR(G7/F7-1,"")</f>
        <v>0.166666666666667</v>
      </c>
      <c r="I7" s="15" t="s">
        <v>69</v>
      </c>
      <c r="J7" s="8" t="s">
        <v>231</v>
      </c>
      <c r="K7" s="8" t="s">
        <v>232</v>
      </c>
    </row>
    <row r="8" customFormat="false" ht="15" hidden="false" customHeight="false" outlineLevel="0" collapsed="false">
      <c r="A8" s="8" t="s">
        <v>233</v>
      </c>
      <c r="B8" s="10" t="s">
        <v>234</v>
      </c>
      <c r="C8" s="10" t="s">
        <v>230</v>
      </c>
      <c r="D8" s="11" t="n">
        <v>45513</v>
      </c>
      <c r="E8" s="10" t="s">
        <v>54</v>
      </c>
      <c r="F8" s="12" t="n">
        <v>120</v>
      </c>
      <c r="G8" s="12" t="n">
        <v>130</v>
      </c>
      <c r="H8" s="13" t="n">
        <f aca="false">IFERROR(G8/F8-1,"")</f>
        <v>0.0833333333333333</v>
      </c>
      <c r="I8" s="15" t="s">
        <v>69</v>
      </c>
      <c r="J8" s="8" t="s">
        <v>235</v>
      </c>
      <c r="K8" s="8" t="s">
        <v>236</v>
      </c>
    </row>
    <row r="9" customFormat="false" ht="15" hidden="false" customHeight="false" outlineLevel="0" collapsed="false">
      <c r="A9" s="8" t="s">
        <v>237</v>
      </c>
      <c r="B9" s="10" t="s">
        <v>238</v>
      </c>
      <c r="C9" s="10" t="s">
        <v>230</v>
      </c>
      <c r="D9" s="11" t="n">
        <v>45709</v>
      </c>
      <c r="E9" s="10" t="s">
        <v>54</v>
      </c>
      <c r="F9" s="12" t="n">
        <v>120</v>
      </c>
      <c r="G9" s="12" t="n">
        <v>130</v>
      </c>
      <c r="H9" s="13" t="n">
        <f aca="false">IFERROR(G9/F9-1,"")</f>
        <v>0.0833333333333333</v>
      </c>
      <c r="I9" s="15" t="s">
        <v>69</v>
      </c>
      <c r="J9" s="8" t="s">
        <v>239</v>
      </c>
      <c r="K9" s="8" t="s">
        <v>240</v>
      </c>
    </row>
    <row r="10" customFormat="false" ht="15" hidden="false" customHeight="false" outlineLevel="0" collapsed="false">
      <c r="A10" s="8" t="s">
        <v>241</v>
      </c>
      <c r="B10" s="10" t="s">
        <v>242</v>
      </c>
      <c r="C10" s="10" t="s">
        <v>243</v>
      </c>
      <c r="D10" s="11" t="n">
        <v>45681</v>
      </c>
      <c r="E10" s="10" t="s">
        <v>54</v>
      </c>
      <c r="F10" s="12" t="n">
        <v>90</v>
      </c>
      <c r="G10" s="12" t="n">
        <v>100</v>
      </c>
      <c r="H10" s="13" t="n">
        <f aca="false">IFERROR(G10/F10-1,"")</f>
        <v>0.111111111111111</v>
      </c>
      <c r="I10" s="15" t="s">
        <v>69</v>
      </c>
      <c r="J10" s="8" t="s">
        <v>244</v>
      </c>
      <c r="K10" s="8" t="s">
        <v>245</v>
      </c>
    </row>
    <row r="11" customFormat="false" ht="15" hidden="false" customHeight="false" outlineLevel="0" collapsed="false">
      <c r="A11" s="8" t="s">
        <v>246</v>
      </c>
      <c r="B11" s="10" t="s">
        <v>247</v>
      </c>
      <c r="C11" s="10" t="s">
        <v>243</v>
      </c>
      <c r="D11" s="11" t="n">
        <v>45786</v>
      </c>
      <c r="E11" s="10" t="s">
        <v>54</v>
      </c>
      <c r="F11" s="12" t="n">
        <v>90</v>
      </c>
      <c r="G11" s="12" t="n">
        <v>105</v>
      </c>
      <c r="H11" s="13" t="n">
        <f aca="false">IFERROR(G11/F11-1,"")</f>
        <v>0.166666666666667</v>
      </c>
      <c r="I11" s="15" t="s">
        <v>69</v>
      </c>
      <c r="J11" s="8" t="s">
        <v>248</v>
      </c>
      <c r="K11" s="8" t="s">
        <v>249</v>
      </c>
    </row>
    <row r="12" customFormat="false" ht="15" hidden="false" customHeight="false" outlineLevel="0" collapsed="false">
      <c r="A12" s="8" t="s">
        <v>250</v>
      </c>
      <c r="B12" s="10" t="s">
        <v>251</v>
      </c>
      <c r="C12" s="10" t="s">
        <v>252</v>
      </c>
      <c r="D12" s="11" t="n">
        <v>46066</v>
      </c>
      <c r="E12" s="10" t="s">
        <v>54</v>
      </c>
      <c r="F12" s="12" t="n">
        <v>90</v>
      </c>
      <c r="G12" s="12" t="n">
        <v>100</v>
      </c>
      <c r="H12" s="13" t="n">
        <f aca="false">IFERROR(G12/F12-1,"")</f>
        <v>0.111111111111111</v>
      </c>
      <c r="I12" s="15" t="s">
        <v>69</v>
      </c>
      <c r="J12" s="8" t="s">
        <v>253</v>
      </c>
      <c r="K12" s="8" t="s">
        <v>254</v>
      </c>
    </row>
    <row r="13" customFormat="false" ht="15" hidden="false" customHeight="false" outlineLevel="0" collapsed="false">
      <c r="A13" s="8" t="s">
        <v>255</v>
      </c>
      <c r="B13" s="10" t="s">
        <v>256</v>
      </c>
      <c r="C13" s="10" t="s">
        <v>252</v>
      </c>
      <c r="D13" s="11" t="n">
        <v>46235</v>
      </c>
      <c r="E13" s="10" t="s">
        <v>257</v>
      </c>
      <c r="F13" s="12"/>
      <c r="G13" s="12"/>
      <c r="H13" s="13"/>
      <c r="I13" s="16" t="s">
        <v>98</v>
      </c>
      <c r="J13" s="8" t="s">
        <v>258</v>
      </c>
      <c r="K13" s="8" t="s">
        <v>259</v>
      </c>
    </row>
  </sheetData>
  <autoFilter ref="A4:K1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260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262</v>
      </c>
      <c r="B5" s="10" t="s">
        <v>263</v>
      </c>
      <c r="C5" s="10" t="s">
        <v>264</v>
      </c>
      <c r="D5" s="11" t="n">
        <v>44904</v>
      </c>
      <c r="E5" s="10" t="s">
        <v>54</v>
      </c>
      <c r="F5" s="12" t="n">
        <v>90</v>
      </c>
      <c r="G5" s="12" t="n">
        <v>350</v>
      </c>
      <c r="H5" s="13" t="n">
        <f aca="false">IFERROR(G5/F5-1,"")</f>
        <v>2.88888888888889</v>
      </c>
      <c r="I5" s="14" t="s">
        <v>55</v>
      </c>
      <c r="J5" s="8" t="s">
        <v>265</v>
      </c>
      <c r="K5" s="8" t="s">
        <v>266</v>
      </c>
    </row>
    <row r="6" customFormat="false" ht="15" hidden="false" customHeight="false" outlineLevel="0" collapsed="false">
      <c r="A6" s="8" t="s">
        <v>267</v>
      </c>
      <c r="B6" s="10" t="s">
        <v>268</v>
      </c>
      <c r="C6" s="10" t="s">
        <v>264</v>
      </c>
      <c r="D6" s="11" t="n">
        <v>45078</v>
      </c>
      <c r="E6" s="10" t="s">
        <v>54</v>
      </c>
      <c r="F6" s="12" t="n">
        <v>90</v>
      </c>
      <c r="G6" s="12" t="n">
        <v>100</v>
      </c>
      <c r="H6" s="13" t="n">
        <f aca="false">IFERROR(G6/F6-1,"")</f>
        <v>0.111111111111111</v>
      </c>
      <c r="I6" s="15" t="s">
        <v>69</v>
      </c>
      <c r="J6" s="8" t="s">
        <v>269</v>
      </c>
      <c r="K6" s="8" t="s">
        <v>270</v>
      </c>
    </row>
    <row r="7" customFormat="false" ht="15" hidden="false" customHeight="false" outlineLevel="0" collapsed="false">
      <c r="A7" s="8" t="s">
        <v>271</v>
      </c>
      <c r="B7" s="10" t="s">
        <v>272</v>
      </c>
      <c r="C7" s="10" t="s">
        <v>273</v>
      </c>
      <c r="D7" s="11" t="n">
        <v>45268</v>
      </c>
      <c r="E7" s="10" t="s">
        <v>54</v>
      </c>
      <c r="F7" s="12" t="n">
        <v>90</v>
      </c>
      <c r="G7" s="12" t="n">
        <v>110</v>
      </c>
      <c r="H7" s="13" t="n">
        <f aca="false">IFERROR(G7/F7-1,"")</f>
        <v>0.222222222222222</v>
      </c>
      <c r="I7" s="15" t="s">
        <v>69</v>
      </c>
      <c r="J7" s="8" t="s">
        <v>274</v>
      </c>
      <c r="K7" s="8" t="s">
        <v>275</v>
      </c>
    </row>
    <row r="8" customFormat="false" ht="15" hidden="false" customHeight="false" outlineLevel="0" collapsed="false">
      <c r="A8" s="8" t="s">
        <v>276</v>
      </c>
      <c r="B8" s="10" t="s">
        <v>277</v>
      </c>
      <c r="C8" s="10" t="s">
        <v>278</v>
      </c>
      <c r="D8" s="11" t="n">
        <v>45786</v>
      </c>
      <c r="E8" s="10" t="s">
        <v>54</v>
      </c>
      <c r="F8" s="12" t="n">
        <v>100</v>
      </c>
      <c r="G8" s="12" t="n">
        <v>110</v>
      </c>
      <c r="H8" s="13" t="n">
        <f aca="false">IFERROR(G8/F8-1,"")</f>
        <v>0.1</v>
      </c>
      <c r="I8" s="15" t="s">
        <v>69</v>
      </c>
      <c r="J8" s="8" t="s">
        <v>279</v>
      </c>
      <c r="K8" s="8" t="s">
        <v>280</v>
      </c>
    </row>
    <row r="9" customFormat="false" ht="15" hidden="false" customHeight="false" outlineLevel="0" collapsed="false">
      <c r="A9" s="8" t="s">
        <v>281</v>
      </c>
      <c r="B9" s="10" t="s">
        <v>282</v>
      </c>
      <c r="C9" s="10" t="s">
        <v>278</v>
      </c>
      <c r="D9" s="11" t="n">
        <v>45898</v>
      </c>
      <c r="E9" s="10" t="s">
        <v>54</v>
      </c>
      <c r="F9" s="12" t="n">
        <v>100</v>
      </c>
      <c r="G9" s="12" t="n">
        <v>120</v>
      </c>
      <c r="H9" s="13" t="n">
        <f aca="false">IFERROR(G9/F9-1,"")</f>
        <v>0.2</v>
      </c>
      <c r="I9" s="15" t="s">
        <v>69</v>
      </c>
      <c r="J9" s="8" t="s">
        <v>283</v>
      </c>
      <c r="K9" s="8" t="s">
        <v>284</v>
      </c>
    </row>
    <row r="10" customFormat="false" ht="23.85" hidden="false" customHeight="false" outlineLevel="0" collapsed="false">
      <c r="A10" s="8" t="s">
        <v>285</v>
      </c>
      <c r="B10" s="10" t="s">
        <v>286</v>
      </c>
      <c r="C10" s="10" t="s">
        <v>278</v>
      </c>
      <c r="D10" s="11" t="n">
        <v>45982</v>
      </c>
      <c r="E10" s="10" t="s">
        <v>54</v>
      </c>
      <c r="F10" s="12" t="n">
        <v>120</v>
      </c>
      <c r="G10" s="12" t="n">
        <v>725</v>
      </c>
      <c r="H10" s="13" t="n">
        <f aca="false">IFERROR(G10/F10-1,"")</f>
        <v>5.04166666666667</v>
      </c>
      <c r="I10" s="16" t="s">
        <v>98</v>
      </c>
      <c r="J10" s="8" t="s">
        <v>287</v>
      </c>
      <c r="K10" s="8" t="s">
        <v>288</v>
      </c>
    </row>
    <row r="11" customFormat="false" ht="15" hidden="false" customHeight="false" outlineLevel="0" collapsed="false">
      <c r="A11" s="8" t="s">
        <v>289</v>
      </c>
      <c r="B11" s="10" t="s">
        <v>290</v>
      </c>
      <c r="C11" s="10" t="s">
        <v>278</v>
      </c>
      <c r="D11" s="11" t="n">
        <v>46038</v>
      </c>
      <c r="E11" s="10" t="s">
        <v>54</v>
      </c>
      <c r="F11" s="12" t="n">
        <v>120</v>
      </c>
      <c r="G11" s="12" t="n">
        <v>160</v>
      </c>
      <c r="H11" s="13" t="n">
        <f aca="false">IFERROR(G11/F11-1,"")</f>
        <v>0.333333333333333</v>
      </c>
      <c r="I11" s="15" t="s">
        <v>69</v>
      </c>
      <c r="J11" s="8" t="s">
        <v>291</v>
      </c>
      <c r="K11" s="8" t="s">
        <v>292</v>
      </c>
    </row>
    <row r="12" customFormat="false" ht="15" hidden="false" customHeight="false" outlineLevel="0" collapsed="false">
      <c r="A12" s="8" t="s">
        <v>293</v>
      </c>
      <c r="B12" s="10" t="s">
        <v>294</v>
      </c>
      <c r="C12" s="10" t="s">
        <v>295</v>
      </c>
      <c r="D12" s="11" t="n">
        <v>46115</v>
      </c>
      <c r="E12" s="10" t="s">
        <v>54</v>
      </c>
      <c r="F12" s="12" t="n">
        <v>120</v>
      </c>
      <c r="G12" s="12" t="n">
        <v>130</v>
      </c>
      <c r="H12" s="13" t="n">
        <f aca="false">IFERROR(G12/F12-1,"")</f>
        <v>0.0833333333333333</v>
      </c>
      <c r="I12" s="15" t="s">
        <v>69</v>
      </c>
      <c r="J12" s="8" t="s">
        <v>296</v>
      </c>
      <c r="K12" s="8" t="s">
        <v>297</v>
      </c>
    </row>
    <row r="13" customFormat="false" ht="15" hidden="false" customHeight="false" outlineLevel="0" collapsed="false">
      <c r="A13" s="8" t="s">
        <v>298</v>
      </c>
      <c r="B13" s="10" t="s">
        <v>299</v>
      </c>
      <c r="C13" s="10" t="s">
        <v>295</v>
      </c>
      <c r="D13" s="11" t="n">
        <v>46185</v>
      </c>
      <c r="E13" s="10" t="s">
        <v>54</v>
      </c>
      <c r="F13" s="12" t="n">
        <v>120</v>
      </c>
      <c r="G13" s="12" t="n">
        <v>120</v>
      </c>
      <c r="H13" s="13" t="n">
        <f aca="false">IFERROR(G13/F13-1,"")</f>
        <v>0</v>
      </c>
      <c r="I13" s="15" t="s">
        <v>69</v>
      </c>
      <c r="J13" s="8" t="s">
        <v>300</v>
      </c>
      <c r="K13" s="8" t="s">
        <v>301</v>
      </c>
    </row>
    <row r="14" customFormat="false" ht="15" hidden="false" customHeight="false" outlineLevel="0" collapsed="false">
      <c r="A14" s="8" t="s">
        <v>302</v>
      </c>
      <c r="B14" s="10" t="s">
        <v>303</v>
      </c>
      <c r="C14" s="10" t="s">
        <v>304</v>
      </c>
      <c r="D14" s="11" t="n">
        <v>46054</v>
      </c>
      <c r="E14" s="10" t="s">
        <v>304</v>
      </c>
      <c r="F14" s="12" t="n">
        <v>90</v>
      </c>
      <c r="G14" s="12" t="n">
        <v>100</v>
      </c>
      <c r="H14" s="13" t="n">
        <f aca="false">IFERROR(G14/F14-1,"")</f>
        <v>0.111111111111111</v>
      </c>
      <c r="I14" s="16" t="s">
        <v>98</v>
      </c>
      <c r="J14" s="8" t="s">
        <v>305</v>
      </c>
      <c r="K14" s="8" t="s">
        <v>306</v>
      </c>
    </row>
    <row r="15" customFormat="false" ht="23.85" hidden="false" customHeight="false" outlineLevel="0" collapsed="false">
      <c r="A15" s="8" t="s">
        <v>307</v>
      </c>
      <c r="B15" s="10" t="s">
        <v>308</v>
      </c>
      <c r="C15" s="10" t="s">
        <v>295</v>
      </c>
      <c r="D15" s="11" t="n">
        <v>46235</v>
      </c>
      <c r="E15" s="10" t="s">
        <v>54</v>
      </c>
      <c r="F15" s="12" t="n">
        <v>120</v>
      </c>
      <c r="G15" s="12"/>
      <c r="H15" s="13"/>
      <c r="I15" s="15" t="s">
        <v>69</v>
      </c>
      <c r="J15" s="8" t="s">
        <v>309</v>
      </c>
      <c r="K15" s="8" t="s">
        <v>310</v>
      </c>
    </row>
  </sheetData>
  <autoFilter ref="A4:K15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311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312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313</v>
      </c>
      <c r="B5" s="10" t="s">
        <v>314</v>
      </c>
      <c r="C5" s="10" t="s">
        <v>315</v>
      </c>
      <c r="D5" s="11" t="n">
        <v>45156</v>
      </c>
      <c r="E5" s="10" t="s">
        <v>54</v>
      </c>
      <c r="F5" s="12" t="n">
        <v>144</v>
      </c>
      <c r="G5" s="12" t="n">
        <v>250</v>
      </c>
      <c r="H5" s="13" t="n">
        <f aca="false">IFERROR(G5/F5-1,"")</f>
        <v>0.736111111111111</v>
      </c>
      <c r="I5" s="14" t="s">
        <v>55</v>
      </c>
      <c r="J5" s="8" t="s">
        <v>316</v>
      </c>
      <c r="K5" s="8" t="s">
        <v>317</v>
      </c>
    </row>
    <row r="6" customFormat="false" ht="15" hidden="false" customHeight="false" outlineLevel="0" collapsed="false">
      <c r="A6" s="8" t="s">
        <v>318</v>
      </c>
      <c r="B6" s="10" t="s">
        <v>319</v>
      </c>
      <c r="C6" s="10" t="s">
        <v>315</v>
      </c>
      <c r="D6" s="11" t="n">
        <v>45261</v>
      </c>
      <c r="E6" s="10" t="s">
        <v>54</v>
      </c>
      <c r="F6" s="12" t="n">
        <v>144</v>
      </c>
      <c r="G6" s="12" t="n">
        <v>159</v>
      </c>
      <c r="H6" s="13" t="n">
        <f aca="false">IFERROR(G6/F6-1,"")</f>
        <v>0.104166666666667</v>
      </c>
      <c r="I6" s="15" t="s">
        <v>69</v>
      </c>
      <c r="J6" s="8" t="s">
        <v>269</v>
      </c>
      <c r="K6" s="8" t="s">
        <v>320</v>
      </c>
    </row>
    <row r="7" customFormat="false" ht="15" hidden="false" customHeight="false" outlineLevel="0" collapsed="false">
      <c r="A7" s="8" t="s">
        <v>321</v>
      </c>
      <c r="B7" s="10" t="s">
        <v>322</v>
      </c>
      <c r="C7" s="10" t="s">
        <v>323</v>
      </c>
      <c r="D7" s="11" t="n">
        <v>45247</v>
      </c>
      <c r="E7" s="10" t="s">
        <v>54</v>
      </c>
      <c r="F7" s="12" t="n">
        <v>144</v>
      </c>
      <c r="G7" s="12" t="n">
        <v>145</v>
      </c>
      <c r="H7" s="13" t="n">
        <f aca="false">IFERROR(G7/F7-1,"")</f>
        <v>0.00694444444444442</v>
      </c>
      <c r="I7" s="15" t="s">
        <v>69</v>
      </c>
      <c r="J7" s="8" t="s">
        <v>324</v>
      </c>
      <c r="K7" s="8" t="s">
        <v>325</v>
      </c>
    </row>
    <row r="8" customFormat="false" ht="15" hidden="false" customHeight="false" outlineLevel="0" collapsed="false">
      <c r="A8" s="8" t="s">
        <v>326</v>
      </c>
      <c r="B8" s="10" t="s">
        <v>327</v>
      </c>
      <c r="C8" s="10" t="s">
        <v>326</v>
      </c>
      <c r="D8" s="11" t="n">
        <v>45513</v>
      </c>
      <c r="E8" s="10" t="s">
        <v>54</v>
      </c>
      <c r="F8" s="12" t="n">
        <v>144</v>
      </c>
      <c r="G8" s="12" t="n">
        <v>145</v>
      </c>
      <c r="H8" s="13" t="n">
        <f aca="false">IFERROR(G8/F8-1,"")</f>
        <v>0.00694444444444442</v>
      </c>
      <c r="I8" s="15" t="s">
        <v>69</v>
      </c>
      <c r="J8" s="8" t="s">
        <v>328</v>
      </c>
      <c r="K8" s="8" t="s">
        <v>329</v>
      </c>
    </row>
    <row r="9" customFormat="false" ht="15" hidden="false" customHeight="false" outlineLevel="0" collapsed="false">
      <c r="A9" s="8" t="s">
        <v>330</v>
      </c>
      <c r="B9" s="10" t="s">
        <v>331</v>
      </c>
      <c r="C9" s="10" t="s">
        <v>330</v>
      </c>
      <c r="D9" s="11" t="n">
        <v>45611</v>
      </c>
      <c r="E9" s="10" t="s">
        <v>54</v>
      </c>
      <c r="F9" s="12" t="n">
        <v>144</v>
      </c>
      <c r="G9" s="12" t="n">
        <v>150</v>
      </c>
      <c r="H9" s="13" t="n">
        <f aca="false">IFERROR(G9/F9-1,"")</f>
        <v>0.0416666666666667</v>
      </c>
      <c r="I9" s="15" t="s">
        <v>69</v>
      </c>
      <c r="J9" s="8" t="s">
        <v>332</v>
      </c>
      <c r="K9" s="8" t="s">
        <v>329</v>
      </c>
    </row>
    <row r="10" customFormat="false" ht="15" hidden="false" customHeight="false" outlineLevel="0" collapsed="false">
      <c r="A10" s="8" t="s">
        <v>333</v>
      </c>
      <c r="B10" s="10" t="s">
        <v>334</v>
      </c>
      <c r="C10" s="10" t="s">
        <v>333</v>
      </c>
      <c r="D10" s="11" t="n">
        <v>45884</v>
      </c>
      <c r="E10" s="10" t="s">
        <v>54</v>
      </c>
      <c r="F10" s="12" t="n">
        <v>144</v>
      </c>
      <c r="G10" s="12" t="n">
        <v>150</v>
      </c>
      <c r="H10" s="13" t="n">
        <f aca="false">IFERROR(G10/F10-1,"")</f>
        <v>0.0416666666666667</v>
      </c>
      <c r="I10" s="15" t="s">
        <v>69</v>
      </c>
      <c r="J10" s="8" t="s">
        <v>335</v>
      </c>
      <c r="K10" s="8" t="s">
        <v>336</v>
      </c>
    </row>
    <row r="11" customFormat="false" ht="15" hidden="false" customHeight="false" outlineLevel="0" collapsed="false">
      <c r="A11" s="8" t="s">
        <v>337</v>
      </c>
      <c r="B11" s="10" t="s">
        <v>338</v>
      </c>
      <c r="C11" s="10" t="s">
        <v>339</v>
      </c>
      <c r="D11" s="11" t="n">
        <v>45975</v>
      </c>
      <c r="E11" s="10" t="s">
        <v>54</v>
      </c>
      <c r="F11" s="12" t="n">
        <v>144</v>
      </c>
      <c r="G11" s="12" t="n">
        <v>150</v>
      </c>
      <c r="H11" s="13" t="n">
        <f aca="false">IFERROR(G11/F11-1,"")</f>
        <v>0.0416666666666667</v>
      </c>
      <c r="I11" s="15" t="s">
        <v>69</v>
      </c>
      <c r="J11" s="8" t="s">
        <v>340</v>
      </c>
      <c r="K11" s="8" t="s">
        <v>341</v>
      </c>
    </row>
    <row r="12" customFormat="false" ht="15" hidden="false" customHeight="false" outlineLevel="0" collapsed="false">
      <c r="A12" s="8" t="s">
        <v>342</v>
      </c>
      <c r="B12" s="10" t="s">
        <v>343</v>
      </c>
      <c r="C12" s="10" t="s">
        <v>252</v>
      </c>
      <c r="D12" s="11" t="n">
        <v>46066</v>
      </c>
      <c r="E12" s="10" t="s">
        <v>54</v>
      </c>
      <c r="F12" s="12" t="n">
        <v>144</v>
      </c>
      <c r="G12" s="12" t="n">
        <v>150</v>
      </c>
      <c r="H12" s="13" t="n">
        <f aca="false">IFERROR(G12/F12-1,"")</f>
        <v>0.0416666666666667</v>
      </c>
      <c r="I12" s="15" t="s">
        <v>69</v>
      </c>
      <c r="J12" s="8" t="s">
        <v>344</v>
      </c>
      <c r="K12" s="8" t="s">
        <v>345</v>
      </c>
    </row>
    <row r="13" customFormat="false" ht="23.85" hidden="false" customHeight="false" outlineLevel="0" collapsed="false">
      <c r="A13" s="8" t="s">
        <v>346</v>
      </c>
      <c r="B13" s="10" t="s">
        <v>347</v>
      </c>
      <c r="C13" s="10" t="s">
        <v>348</v>
      </c>
      <c r="D13" s="11" t="n">
        <v>46157</v>
      </c>
      <c r="E13" s="10" t="s">
        <v>54</v>
      </c>
      <c r="F13" s="12" t="n">
        <v>144</v>
      </c>
      <c r="G13" s="12" t="n">
        <v>150</v>
      </c>
      <c r="H13" s="13" t="n">
        <f aca="false">IFERROR(G13/F13-1,"")</f>
        <v>0.0416666666666667</v>
      </c>
      <c r="I13" s="15" t="s">
        <v>69</v>
      </c>
      <c r="J13" s="8" t="s">
        <v>349</v>
      </c>
      <c r="K13" s="8" t="s">
        <v>350</v>
      </c>
    </row>
    <row r="14" customFormat="false" ht="15" hidden="false" customHeight="false" outlineLevel="0" collapsed="false">
      <c r="A14" s="8" t="s">
        <v>351</v>
      </c>
      <c r="B14" s="10" t="s">
        <v>352</v>
      </c>
      <c r="C14" s="10" t="s">
        <v>353</v>
      </c>
      <c r="D14" s="11" t="n">
        <v>46227</v>
      </c>
      <c r="E14" s="10" t="s">
        <v>54</v>
      </c>
      <c r="F14" s="12" t="n">
        <v>144</v>
      </c>
      <c r="G14" s="12"/>
      <c r="H14" s="13"/>
      <c r="I14" s="15" t="s">
        <v>69</v>
      </c>
      <c r="J14" s="8" t="s">
        <v>354</v>
      </c>
      <c r="K14" s="8" t="s">
        <v>355</v>
      </c>
    </row>
    <row r="15" customFormat="false" ht="15" hidden="false" customHeight="false" outlineLevel="0" collapsed="false">
      <c r="A15" s="8" t="s">
        <v>356</v>
      </c>
      <c r="B15" s="10" t="s">
        <v>357</v>
      </c>
      <c r="C15" s="10" t="s">
        <v>358</v>
      </c>
      <c r="D15" s="11" t="n">
        <v>46296</v>
      </c>
      <c r="E15" s="10" t="s">
        <v>359</v>
      </c>
      <c r="F15" s="12" t="n">
        <v>60</v>
      </c>
      <c r="G15" s="12"/>
      <c r="H15" s="13"/>
      <c r="I15" s="17" t="s">
        <v>360</v>
      </c>
      <c r="J15" s="8" t="s">
        <v>361</v>
      </c>
      <c r="K15" s="8" t="s">
        <v>362</v>
      </c>
    </row>
  </sheetData>
  <autoFilter ref="A4:K15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363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365</v>
      </c>
      <c r="B5" s="10" t="s">
        <v>366</v>
      </c>
      <c r="C5" s="10" t="s">
        <v>264</v>
      </c>
      <c r="D5" s="11" t="n">
        <v>43749</v>
      </c>
      <c r="E5" s="10" t="s">
        <v>54</v>
      </c>
      <c r="F5" s="12" t="n">
        <v>96</v>
      </c>
      <c r="G5" s="12" t="n">
        <v>1500</v>
      </c>
      <c r="H5" s="13" t="n">
        <f aca="false">IFERROR(G5/F5-1,"")</f>
        <v>14.625</v>
      </c>
      <c r="I5" s="14" t="s">
        <v>55</v>
      </c>
      <c r="J5" s="8" t="s">
        <v>367</v>
      </c>
      <c r="K5" s="8" t="s">
        <v>368</v>
      </c>
    </row>
    <row r="6" customFormat="false" ht="15" hidden="false" customHeight="false" outlineLevel="0" collapsed="false">
      <c r="A6" s="8" t="s">
        <v>369</v>
      </c>
      <c r="B6" s="10" t="s">
        <v>370</v>
      </c>
      <c r="C6" s="10" t="s">
        <v>264</v>
      </c>
      <c r="D6" s="11" t="n">
        <v>43770</v>
      </c>
      <c r="E6" s="10" t="s">
        <v>54</v>
      </c>
      <c r="F6" s="12" t="n">
        <v>96</v>
      </c>
      <c r="G6" s="12" t="n">
        <v>130</v>
      </c>
      <c r="H6" s="13" t="n">
        <f aca="false">IFERROR(G6/F6-1,"")</f>
        <v>0.354166666666667</v>
      </c>
      <c r="I6" s="15" t="s">
        <v>69</v>
      </c>
      <c r="J6" s="8" t="s">
        <v>371</v>
      </c>
      <c r="K6" s="8" t="s">
        <v>372</v>
      </c>
    </row>
    <row r="7" customFormat="false" ht="15" hidden="false" customHeight="false" outlineLevel="0" collapsed="false">
      <c r="A7" s="8" t="s">
        <v>373</v>
      </c>
      <c r="B7" s="10" t="s">
        <v>374</v>
      </c>
      <c r="C7" s="10" t="s">
        <v>264</v>
      </c>
      <c r="D7" s="11" t="n">
        <v>44013</v>
      </c>
      <c r="E7" s="10" t="s">
        <v>54</v>
      </c>
      <c r="F7" s="12" t="n">
        <v>96</v>
      </c>
      <c r="G7" s="12" t="n">
        <v>814</v>
      </c>
      <c r="H7" s="13" t="n">
        <f aca="false">IFERROR(G7/F7-1,"")</f>
        <v>7.47916666666667</v>
      </c>
      <c r="I7" s="14" t="s">
        <v>55</v>
      </c>
      <c r="J7" s="8" t="s">
        <v>375</v>
      </c>
      <c r="K7" s="8" t="s">
        <v>376</v>
      </c>
    </row>
    <row r="8" customFormat="false" ht="15" hidden="false" customHeight="false" outlineLevel="0" collapsed="false">
      <c r="A8" s="8" t="s">
        <v>377</v>
      </c>
      <c r="B8" s="10" t="s">
        <v>378</v>
      </c>
      <c r="C8" s="10" t="s">
        <v>379</v>
      </c>
      <c r="D8" s="11" t="n">
        <v>44317</v>
      </c>
      <c r="E8" s="10" t="s">
        <v>54</v>
      </c>
      <c r="F8" s="12" t="n">
        <v>96</v>
      </c>
      <c r="G8" s="12" t="n">
        <v>75</v>
      </c>
      <c r="H8" s="13" t="n">
        <f aca="false">IFERROR(G8/F8-1,"")</f>
        <v>-0.21875</v>
      </c>
      <c r="I8" s="15" t="s">
        <v>69</v>
      </c>
      <c r="J8" s="8" t="s">
        <v>380</v>
      </c>
      <c r="K8" s="8" t="s">
        <v>381</v>
      </c>
    </row>
    <row r="9" customFormat="false" ht="15" hidden="false" customHeight="false" outlineLevel="0" collapsed="false">
      <c r="A9" s="8" t="s">
        <v>382</v>
      </c>
      <c r="B9" s="10" t="s">
        <v>383</v>
      </c>
      <c r="C9" s="10" t="s">
        <v>379</v>
      </c>
      <c r="D9" s="11" t="n">
        <v>44463</v>
      </c>
      <c r="E9" s="10" t="s">
        <v>54</v>
      </c>
      <c r="F9" s="12" t="n">
        <v>96</v>
      </c>
      <c r="G9" s="12" t="n">
        <v>99</v>
      </c>
      <c r="H9" s="13" t="n">
        <f aca="false">IFERROR(G9/F9-1,"")</f>
        <v>0.03125</v>
      </c>
      <c r="I9" s="15" t="s">
        <v>69</v>
      </c>
      <c r="J9" s="8" t="s">
        <v>384</v>
      </c>
      <c r="K9" s="8" t="s">
        <v>385</v>
      </c>
    </row>
    <row r="10" customFormat="false" ht="15" hidden="false" customHeight="false" outlineLevel="0" collapsed="false">
      <c r="A10" s="8" t="s">
        <v>386</v>
      </c>
      <c r="B10" s="10" t="s">
        <v>387</v>
      </c>
      <c r="C10" s="10" t="s">
        <v>388</v>
      </c>
      <c r="D10" s="11" t="n">
        <v>44533</v>
      </c>
      <c r="E10" s="10" t="s">
        <v>54</v>
      </c>
      <c r="F10" s="12" t="n">
        <v>96</v>
      </c>
      <c r="G10" s="12" t="n">
        <v>50</v>
      </c>
      <c r="H10" s="13" t="n">
        <f aca="false">IFERROR(G10/F10-1,"")</f>
        <v>-0.479166666666667</v>
      </c>
      <c r="I10" s="15" t="s">
        <v>69</v>
      </c>
      <c r="J10" s="8" t="s">
        <v>389</v>
      </c>
      <c r="K10" s="8" t="s">
        <v>390</v>
      </c>
    </row>
    <row r="11" customFormat="false" ht="15" hidden="false" customHeight="false" outlineLevel="0" collapsed="false">
      <c r="A11" s="8" t="s">
        <v>391</v>
      </c>
      <c r="B11" s="10" t="s">
        <v>392</v>
      </c>
      <c r="C11" s="10" t="s">
        <v>379</v>
      </c>
      <c r="D11" s="11" t="n">
        <v>45331</v>
      </c>
      <c r="E11" s="10" t="s">
        <v>54</v>
      </c>
      <c r="F11" s="12" t="n">
        <v>110</v>
      </c>
      <c r="G11" s="12" t="n">
        <v>110</v>
      </c>
      <c r="H11" s="13" t="n">
        <f aca="false">IFERROR(G11/F11-1,"")</f>
        <v>0</v>
      </c>
      <c r="I11" s="15" t="s">
        <v>69</v>
      </c>
      <c r="J11" s="8" t="s">
        <v>393</v>
      </c>
      <c r="K11" s="8" t="s">
        <v>385</v>
      </c>
    </row>
    <row r="12" customFormat="false" ht="15" hidden="false" customHeight="false" outlineLevel="0" collapsed="false">
      <c r="A12" s="8" t="s">
        <v>394</v>
      </c>
      <c r="B12" s="10" t="s">
        <v>395</v>
      </c>
      <c r="C12" s="10" t="s">
        <v>379</v>
      </c>
      <c r="D12" s="11" t="n">
        <v>45627</v>
      </c>
      <c r="E12" s="10" t="s">
        <v>54</v>
      </c>
      <c r="F12" s="12" t="n">
        <v>110</v>
      </c>
      <c r="G12" s="12" t="n">
        <v>110</v>
      </c>
      <c r="H12" s="13" t="n">
        <f aca="false">IFERROR(G12/F12-1,"")</f>
        <v>0</v>
      </c>
      <c r="I12" s="15" t="s">
        <v>69</v>
      </c>
      <c r="J12" s="8" t="s">
        <v>396</v>
      </c>
      <c r="K12" s="8" t="s">
        <v>397</v>
      </c>
    </row>
    <row r="13" customFormat="false" ht="15" hidden="false" customHeight="false" outlineLevel="0" collapsed="false">
      <c r="A13" s="8" t="s">
        <v>398</v>
      </c>
      <c r="B13" s="10" t="s">
        <v>399</v>
      </c>
      <c r="C13" s="10" t="s">
        <v>400</v>
      </c>
      <c r="D13" s="11" t="n">
        <v>45920</v>
      </c>
      <c r="E13" s="10" t="s">
        <v>54</v>
      </c>
      <c r="F13" s="12" t="n">
        <v>110</v>
      </c>
      <c r="G13" s="12" t="n">
        <v>110</v>
      </c>
      <c r="H13" s="13" t="n">
        <f aca="false">IFERROR(G13/F13-1,"")</f>
        <v>0</v>
      </c>
      <c r="I13" s="15" t="s">
        <v>69</v>
      </c>
      <c r="J13" s="8" t="s">
        <v>401</v>
      </c>
      <c r="K13" s="8" t="s">
        <v>402</v>
      </c>
    </row>
    <row r="14" customFormat="false" ht="15" hidden="false" customHeight="false" outlineLevel="0" collapsed="false">
      <c r="A14" s="8" t="s">
        <v>403</v>
      </c>
      <c r="B14" s="10" t="s">
        <v>404</v>
      </c>
      <c r="C14" s="10" t="s">
        <v>379</v>
      </c>
      <c r="D14" s="11" t="n">
        <v>46054</v>
      </c>
      <c r="E14" s="10" t="s">
        <v>54</v>
      </c>
      <c r="F14" s="12" t="n">
        <v>110</v>
      </c>
      <c r="G14" s="12" t="n">
        <v>110</v>
      </c>
      <c r="H14" s="13" t="n">
        <f aca="false">IFERROR(G14/F14-1,"")</f>
        <v>0</v>
      </c>
      <c r="I14" s="15" t="s">
        <v>69</v>
      </c>
      <c r="J14" s="8" t="s">
        <v>405</v>
      </c>
      <c r="K14" s="8" t="s">
        <v>406</v>
      </c>
    </row>
  </sheetData>
  <autoFilter ref="A4:K1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407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408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409</v>
      </c>
      <c r="B5" s="10" t="s">
        <v>410</v>
      </c>
      <c r="C5" s="10" t="s">
        <v>411</v>
      </c>
      <c r="D5" s="11" t="n">
        <v>45359</v>
      </c>
      <c r="E5" s="10" t="s">
        <v>54</v>
      </c>
      <c r="F5" s="12" t="n">
        <v>100</v>
      </c>
      <c r="G5" s="12" t="n">
        <v>70</v>
      </c>
      <c r="H5" s="13" t="n">
        <f aca="false">IFERROR(G5/F5-1,"")</f>
        <v>-0.3</v>
      </c>
      <c r="I5" s="15" t="s">
        <v>69</v>
      </c>
      <c r="J5" s="8" t="s">
        <v>412</v>
      </c>
      <c r="K5" s="8" t="s">
        <v>413</v>
      </c>
    </row>
    <row r="6" customFormat="false" ht="15" hidden="false" customHeight="false" outlineLevel="0" collapsed="false">
      <c r="A6" s="8" t="s">
        <v>414</v>
      </c>
      <c r="B6" s="10" t="s">
        <v>415</v>
      </c>
      <c r="C6" s="10" t="s">
        <v>416</v>
      </c>
      <c r="D6" s="11" t="n">
        <v>45485</v>
      </c>
      <c r="E6" s="10" t="s">
        <v>54</v>
      </c>
      <c r="F6" s="12" t="n">
        <v>100</v>
      </c>
      <c r="G6" s="12" t="n">
        <v>60</v>
      </c>
      <c r="H6" s="13" t="n">
        <f aca="false">IFERROR(G6/F6-1,"")</f>
        <v>-0.4</v>
      </c>
      <c r="I6" s="15" t="s">
        <v>69</v>
      </c>
      <c r="J6" s="8" t="s">
        <v>417</v>
      </c>
      <c r="K6" s="8" t="s">
        <v>418</v>
      </c>
    </row>
    <row r="7" customFormat="false" ht="15" hidden="false" customHeight="false" outlineLevel="0" collapsed="false">
      <c r="A7" s="8" t="s">
        <v>419</v>
      </c>
      <c r="B7" s="10" t="s">
        <v>420</v>
      </c>
      <c r="C7" s="10" t="s">
        <v>421</v>
      </c>
      <c r="D7" s="11" t="n">
        <v>45604</v>
      </c>
      <c r="E7" s="10" t="s">
        <v>54</v>
      </c>
      <c r="F7" s="12" t="n">
        <v>120</v>
      </c>
      <c r="G7" s="12" t="n">
        <v>58</v>
      </c>
      <c r="H7" s="13" t="n">
        <f aca="false">IFERROR(G7/F7-1,"")</f>
        <v>-0.516666666666667</v>
      </c>
      <c r="I7" s="15" t="s">
        <v>69</v>
      </c>
      <c r="J7" s="8" t="s">
        <v>422</v>
      </c>
      <c r="K7" s="8" t="s">
        <v>423</v>
      </c>
    </row>
    <row r="8" customFormat="false" ht="15" hidden="false" customHeight="false" outlineLevel="0" collapsed="false">
      <c r="A8" s="8" t="s">
        <v>424</v>
      </c>
      <c r="B8" s="10" t="s">
        <v>425</v>
      </c>
      <c r="C8" s="10" t="s">
        <v>426</v>
      </c>
      <c r="D8" s="11" t="n">
        <v>45730</v>
      </c>
      <c r="E8" s="10" t="s">
        <v>54</v>
      </c>
      <c r="F8" s="12" t="n">
        <v>120</v>
      </c>
      <c r="G8" s="12" t="n">
        <v>58</v>
      </c>
      <c r="H8" s="13" t="n">
        <f aca="false">IFERROR(G8/F8-1,"")</f>
        <v>-0.516666666666667</v>
      </c>
      <c r="I8" s="15" t="s">
        <v>69</v>
      </c>
      <c r="J8" s="8" t="s">
        <v>427</v>
      </c>
      <c r="K8" s="8" t="s">
        <v>428</v>
      </c>
    </row>
    <row r="9" customFormat="false" ht="23.85" hidden="false" customHeight="false" outlineLevel="0" collapsed="false">
      <c r="A9" s="8" t="s">
        <v>429</v>
      </c>
      <c r="B9" s="10" t="s">
        <v>430</v>
      </c>
      <c r="C9" s="10" t="s">
        <v>431</v>
      </c>
      <c r="D9" s="11" t="n">
        <v>45849</v>
      </c>
      <c r="E9" s="10" t="s">
        <v>54</v>
      </c>
      <c r="F9" s="12" t="n">
        <v>120</v>
      </c>
      <c r="G9" s="12" t="n">
        <v>52</v>
      </c>
      <c r="H9" s="13" t="n">
        <f aca="false">IFERROR(G9/F9-1,"")</f>
        <v>-0.566666666666667</v>
      </c>
      <c r="I9" s="15" t="s">
        <v>69</v>
      </c>
      <c r="J9" s="8" t="s">
        <v>432</v>
      </c>
      <c r="K9" s="8" t="s">
        <v>433</v>
      </c>
    </row>
    <row r="10" customFormat="false" ht="15" hidden="false" customHeight="false" outlineLevel="0" collapsed="false">
      <c r="A10" s="8" t="s">
        <v>434</v>
      </c>
      <c r="B10" s="10" t="s">
        <v>435</v>
      </c>
      <c r="C10" s="10" t="s">
        <v>436</v>
      </c>
      <c r="D10" s="11" t="n">
        <v>45962</v>
      </c>
      <c r="E10" s="10" t="s">
        <v>54</v>
      </c>
      <c r="F10" s="12" t="n">
        <v>120</v>
      </c>
      <c r="G10" s="12" t="n">
        <v>65</v>
      </c>
      <c r="H10" s="13" t="n">
        <f aca="false">IFERROR(G10/F10-1,"")</f>
        <v>-0.458333333333333</v>
      </c>
      <c r="I10" s="15" t="s">
        <v>69</v>
      </c>
      <c r="J10" s="8" t="s">
        <v>437</v>
      </c>
      <c r="K10" s="8" t="s">
        <v>438</v>
      </c>
    </row>
    <row r="11" customFormat="false" ht="15" hidden="false" customHeight="false" outlineLevel="0" collapsed="false">
      <c r="A11" s="8" t="s">
        <v>439</v>
      </c>
      <c r="B11" s="10" t="s">
        <v>440</v>
      </c>
      <c r="C11" s="10" t="s">
        <v>441</v>
      </c>
      <c r="D11" s="11" t="n">
        <v>46082</v>
      </c>
      <c r="E11" s="10" t="s">
        <v>54</v>
      </c>
      <c r="F11" s="12" t="n">
        <v>120</v>
      </c>
      <c r="G11" s="12" t="n">
        <v>70</v>
      </c>
      <c r="H11" s="13" t="n">
        <f aca="false">IFERROR(G11/F11-1,"")</f>
        <v>-0.416666666666667</v>
      </c>
      <c r="I11" s="15" t="s">
        <v>69</v>
      </c>
      <c r="J11" s="8" t="s">
        <v>442</v>
      </c>
      <c r="K11" s="8" t="s">
        <v>443</v>
      </c>
    </row>
  </sheetData>
  <autoFilter ref="A4:K1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444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445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446</v>
      </c>
      <c r="B5" s="10" t="s">
        <v>447</v>
      </c>
      <c r="C5" s="10" t="s">
        <v>264</v>
      </c>
      <c r="D5" s="11" t="n">
        <v>45338</v>
      </c>
      <c r="E5" s="10" t="s">
        <v>54</v>
      </c>
      <c r="F5" s="12" t="n">
        <v>96</v>
      </c>
      <c r="G5" s="12" t="n">
        <v>130</v>
      </c>
      <c r="H5" s="13" t="n">
        <f aca="false">IFERROR(G5/F5-1,"")</f>
        <v>0.354166666666667</v>
      </c>
      <c r="I5" s="15" t="s">
        <v>69</v>
      </c>
      <c r="J5" s="8" t="s">
        <v>448</v>
      </c>
      <c r="K5" s="8" t="s">
        <v>449</v>
      </c>
    </row>
    <row r="6" customFormat="false" ht="15" hidden="false" customHeight="false" outlineLevel="0" collapsed="false">
      <c r="A6" s="8" t="s">
        <v>450</v>
      </c>
      <c r="B6" s="10" t="s">
        <v>451</v>
      </c>
      <c r="C6" s="10" t="s">
        <v>452</v>
      </c>
      <c r="D6" s="11" t="n">
        <v>45639</v>
      </c>
      <c r="E6" s="10" t="s">
        <v>54</v>
      </c>
      <c r="F6" s="12" t="n">
        <v>96</v>
      </c>
      <c r="G6" s="12" t="n">
        <v>100</v>
      </c>
      <c r="H6" s="13" t="n">
        <f aca="false">IFERROR(G6/F6-1,"")</f>
        <v>0.0416666666666667</v>
      </c>
      <c r="I6" s="15" t="s">
        <v>69</v>
      </c>
      <c r="J6" s="8" t="s">
        <v>453</v>
      </c>
      <c r="K6" s="8" t="s">
        <v>454</v>
      </c>
    </row>
    <row r="7" customFormat="false" ht="15" hidden="false" customHeight="false" outlineLevel="0" collapsed="false">
      <c r="A7" s="8" t="s">
        <v>455</v>
      </c>
      <c r="B7" s="10" t="s">
        <v>456</v>
      </c>
      <c r="C7" s="10" t="s">
        <v>452</v>
      </c>
      <c r="D7" s="11" t="n">
        <v>45709</v>
      </c>
      <c r="E7" s="10" t="s">
        <v>54</v>
      </c>
      <c r="F7" s="12" t="n">
        <v>96</v>
      </c>
      <c r="G7" s="12" t="n">
        <v>90</v>
      </c>
      <c r="H7" s="13" t="n">
        <f aca="false">IFERROR(G7/F7-1,"")</f>
        <v>-0.0625</v>
      </c>
      <c r="I7" s="15" t="s">
        <v>69</v>
      </c>
      <c r="J7" s="8" t="s">
        <v>457</v>
      </c>
      <c r="K7" s="8" t="s">
        <v>458</v>
      </c>
    </row>
    <row r="8" customFormat="false" ht="15" hidden="false" customHeight="false" outlineLevel="0" collapsed="false">
      <c r="A8" s="8" t="s">
        <v>459</v>
      </c>
      <c r="B8" s="10" t="s">
        <v>460</v>
      </c>
      <c r="C8" s="10" t="s">
        <v>452</v>
      </c>
      <c r="D8" s="11" t="n">
        <v>45807</v>
      </c>
      <c r="E8" s="10" t="s">
        <v>54</v>
      </c>
      <c r="F8" s="12" t="n">
        <v>96</v>
      </c>
      <c r="G8" s="12" t="n">
        <v>90</v>
      </c>
      <c r="H8" s="13" t="n">
        <f aca="false">IFERROR(G8/F8-1,"")</f>
        <v>-0.0625</v>
      </c>
      <c r="I8" s="15" t="s">
        <v>69</v>
      </c>
      <c r="J8" s="8" t="s">
        <v>461</v>
      </c>
      <c r="K8" s="8" t="s">
        <v>462</v>
      </c>
    </row>
    <row r="9" customFormat="false" ht="15" hidden="false" customHeight="false" outlineLevel="0" collapsed="false">
      <c r="A9" s="8" t="s">
        <v>463</v>
      </c>
      <c r="B9" s="10" t="s">
        <v>464</v>
      </c>
      <c r="C9" s="10" t="s">
        <v>465</v>
      </c>
      <c r="D9" s="11" t="n">
        <v>45898</v>
      </c>
      <c r="E9" s="10" t="s">
        <v>54</v>
      </c>
      <c r="F9" s="12" t="n">
        <v>96</v>
      </c>
      <c r="G9" s="12" t="n">
        <v>95</v>
      </c>
      <c r="H9" s="13" t="n">
        <f aca="false">IFERROR(G9/F9-1,"")</f>
        <v>-0.0104166666666666</v>
      </c>
      <c r="I9" s="15" t="s">
        <v>69</v>
      </c>
      <c r="J9" s="8" t="s">
        <v>466</v>
      </c>
      <c r="K9" s="8" t="s">
        <v>467</v>
      </c>
    </row>
    <row r="10" customFormat="false" ht="15" hidden="false" customHeight="false" outlineLevel="0" collapsed="false">
      <c r="A10" s="8" t="s">
        <v>468</v>
      </c>
      <c r="B10" s="10" t="s">
        <v>469</v>
      </c>
      <c r="C10" s="10" t="s">
        <v>252</v>
      </c>
      <c r="D10" s="11" t="n">
        <v>46054</v>
      </c>
      <c r="E10" s="10" t="s">
        <v>54</v>
      </c>
      <c r="F10" s="12" t="n">
        <v>96</v>
      </c>
      <c r="G10" s="12" t="n">
        <v>95</v>
      </c>
      <c r="H10" s="13" t="n">
        <f aca="false">IFERROR(G10/F10-1,"")</f>
        <v>-0.0104166666666666</v>
      </c>
      <c r="I10" s="15" t="s">
        <v>69</v>
      </c>
      <c r="J10" s="8" t="s">
        <v>470</v>
      </c>
      <c r="K10" s="8" t="s">
        <v>471</v>
      </c>
    </row>
    <row r="11" customFormat="false" ht="15" hidden="false" customHeight="false" outlineLevel="0" collapsed="false">
      <c r="A11" s="8" t="s">
        <v>472</v>
      </c>
      <c r="B11" s="10" t="s">
        <v>473</v>
      </c>
      <c r="C11" s="10" t="s">
        <v>474</v>
      </c>
      <c r="D11" s="10" t="s">
        <v>475</v>
      </c>
      <c r="E11" s="10" t="s">
        <v>476</v>
      </c>
      <c r="F11" s="12" t="n">
        <v>20</v>
      </c>
      <c r="G11" s="12" t="n">
        <v>22</v>
      </c>
      <c r="H11" s="13" t="n">
        <f aca="false">IFERROR(G11/F11-1,"")</f>
        <v>0.1</v>
      </c>
      <c r="I11" s="15" t="s">
        <v>69</v>
      </c>
      <c r="J11" s="8" t="s">
        <v>477</v>
      </c>
      <c r="K11" s="8" t="s">
        <v>478</v>
      </c>
    </row>
  </sheetData>
  <autoFilter ref="A4:K1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479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480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481</v>
      </c>
      <c r="B5" s="10" t="s">
        <v>482</v>
      </c>
      <c r="C5" s="10" t="s">
        <v>483</v>
      </c>
      <c r="D5" s="11" t="n">
        <v>43966</v>
      </c>
      <c r="E5" s="10" t="s">
        <v>54</v>
      </c>
      <c r="F5" s="12" t="n">
        <v>90</v>
      </c>
      <c r="G5" s="12" t="n">
        <v>130</v>
      </c>
      <c r="H5" s="13" t="n">
        <f aca="false">IFERROR(G5/F5-1,"")</f>
        <v>0.444444444444444</v>
      </c>
      <c r="I5" s="15" t="s">
        <v>69</v>
      </c>
      <c r="J5" s="8" t="s">
        <v>484</v>
      </c>
      <c r="K5" s="8" t="s">
        <v>485</v>
      </c>
    </row>
    <row r="6" customFormat="false" ht="15" hidden="false" customHeight="false" outlineLevel="0" collapsed="false">
      <c r="A6" s="8" t="s">
        <v>486</v>
      </c>
      <c r="B6" s="10" t="s">
        <v>487</v>
      </c>
      <c r="C6" s="10" t="s">
        <v>483</v>
      </c>
      <c r="D6" s="11" t="n">
        <v>44372</v>
      </c>
      <c r="E6" s="10" t="s">
        <v>54</v>
      </c>
      <c r="F6" s="12" t="n">
        <v>90</v>
      </c>
      <c r="G6" s="12" t="n">
        <v>105</v>
      </c>
      <c r="H6" s="13" t="n">
        <f aca="false">IFERROR(G6/F6-1,"")</f>
        <v>0.166666666666667</v>
      </c>
      <c r="I6" s="15" t="s">
        <v>69</v>
      </c>
      <c r="J6" s="8" t="s">
        <v>488</v>
      </c>
      <c r="K6" s="8" t="s">
        <v>385</v>
      </c>
    </row>
    <row r="7" customFormat="false" ht="15" hidden="false" customHeight="false" outlineLevel="0" collapsed="false">
      <c r="A7" s="8" t="s">
        <v>489</v>
      </c>
      <c r="B7" s="10" t="s">
        <v>490</v>
      </c>
      <c r="C7" s="10" t="s">
        <v>491</v>
      </c>
      <c r="D7" s="11" t="n">
        <v>45408</v>
      </c>
      <c r="E7" s="10" t="s">
        <v>54</v>
      </c>
      <c r="F7" s="12" t="n">
        <v>130</v>
      </c>
      <c r="G7" s="12" t="n">
        <v>140</v>
      </c>
      <c r="H7" s="13" t="n">
        <f aca="false">IFERROR(G7/F7-1,"")</f>
        <v>0.0769230769230769</v>
      </c>
      <c r="I7" s="15" t="s">
        <v>69</v>
      </c>
      <c r="J7" s="8" t="s">
        <v>492</v>
      </c>
      <c r="K7" s="8" t="s">
        <v>493</v>
      </c>
    </row>
    <row r="8" customFormat="false" ht="15" hidden="false" customHeight="false" outlineLevel="0" collapsed="false">
      <c r="A8" s="8" t="s">
        <v>494</v>
      </c>
      <c r="B8" s="10" t="s">
        <v>495</v>
      </c>
      <c r="C8" s="10" t="s">
        <v>496</v>
      </c>
      <c r="D8" s="11" t="n">
        <v>45807</v>
      </c>
      <c r="E8" s="10" t="s">
        <v>54</v>
      </c>
      <c r="F8" s="12" t="n">
        <v>130</v>
      </c>
      <c r="G8" s="12" t="n">
        <v>130</v>
      </c>
      <c r="H8" s="13" t="n">
        <f aca="false">IFERROR(G8/F8-1,"")</f>
        <v>0</v>
      </c>
      <c r="I8" s="15" t="s">
        <v>69</v>
      </c>
      <c r="J8" s="8" t="s">
        <v>497</v>
      </c>
      <c r="K8" s="8" t="s">
        <v>498</v>
      </c>
    </row>
    <row r="9" customFormat="false" ht="15" hidden="false" customHeight="false" outlineLevel="0" collapsed="false">
      <c r="A9" s="8" t="s">
        <v>499</v>
      </c>
      <c r="B9" s="10" t="s">
        <v>500</v>
      </c>
      <c r="C9" s="10" t="s">
        <v>496</v>
      </c>
      <c r="D9" s="11" t="n">
        <v>45926</v>
      </c>
      <c r="E9" s="10" t="s">
        <v>54</v>
      </c>
      <c r="F9" s="12" t="n">
        <v>130</v>
      </c>
      <c r="G9" s="12" t="n">
        <v>130</v>
      </c>
      <c r="H9" s="13" t="n">
        <f aca="false">IFERROR(G9/F9-1,"")</f>
        <v>0</v>
      </c>
      <c r="I9" s="15" t="s">
        <v>69</v>
      </c>
      <c r="J9" s="8" t="s">
        <v>501</v>
      </c>
      <c r="K9" s="8" t="s">
        <v>502</v>
      </c>
    </row>
    <row r="10" customFormat="false" ht="15" hidden="false" customHeight="false" outlineLevel="0" collapsed="false">
      <c r="A10" s="8" t="s">
        <v>503</v>
      </c>
      <c r="B10" s="10" t="s">
        <v>504</v>
      </c>
      <c r="C10" s="10" t="s">
        <v>252</v>
      </c>
      <c r="D10" s="11" t="n">
        <v>46052</v>
      </c>
      <c r="E10" s="10" t="s">
        <v>54</v>
      </c>
      <c r="F10" s="12" t="n">
        <v>130</v>
      </c>
      <c r="G10" s="12" t="n">
        <v>130</v>
      </c>
      <c r="H10" s="13" t="n">
        <f aca="false">IFERROR(G10/F10-1,"")</f>
        <v>0</v>
      </c>
      <c r="I10" s="15" t="s">
        <v>69</v>
      </c>
      <c r="J10" s="8" t="s">
        <v>505</v>
      </c>
      <c r="K10" s="8" t="s">
        <v>506</v>
      </c>
    </row>
    <row r="11" customFormat="false" ht="15" hidden="false" customHeight="false" outlineLevel="0" collapsed="false">
      <c r="A11" s="8" t="s">
        <v>507</v>
      </c>
      <c r="B11" s="10" t="s">
        <v>508</v>
      </c>
      <c r="C11" s="10" t="s">
        <v>252</v>
      </c>
      <c r="D11" s="11" t="n">
        <v>46108</v>
      </c>
      <c r="E11" s="10" t="s">
        <v>54</v>
      </c>
      <c r="F11" s="12" t="n">
        <v>130</v>
      </c>
      <c r="G11" s="12" t="n">
        <v>130</v>
      </c>
      <c r="H11" s="13" t="n">
        <f aca="false">IFERROR(G11/F11-1,"")</f>
        <v>0</v>
      </c>
      <c r="I11" s="15" t="s">
        <v>69</v>
      </c>
      <c r="J11" s="8" t="s">
        <v>509</v>
      </c>
      <c r="K11" s="8" t="s">
        <v>506</v>
      </c>
    </row>
    <row r="12" customFormat="false" ht="15" hidden="false" customHeight="false" outlineLevel="0" collapsed="false">
      <c r="A12" s="8" t="s">
        <v>510</v>
      </c>
      <c r="B12" s="10" t="s">
        <v>511</v>
      </c>
      <c r="C12" s="10" t="s">
        <v>252</v>
      </c>
      <c r="D12" s="11" t="n">
        <v>46164</v>
      </c>
      <c r="E12" s="10" t="s">
        <v>54</v>
      </c>
      <c r="F12" s="12" t="n">
        <v>120</v>
      </c>
      <c r="G12" s="12" t="n">
        <v>120</v>
      </c>
      <c r="H12" s="13" t="n">
        <f aca="false">IFERROR(G12/F12-1,"")</f>
        <v>0</v>
      </c>
      <c r="I12" s="15" t="s">
        <v>69</v>
      </c>
      <c r="J12" s="8" t="s">
        <v>512</v>
      </c>
      <c r="K12" s="8" t="s">
        <v>513</v>
      </c>
    </row>
    <row r="13" customFormat="false" ht="15" hidden="false" customHeight="false" outlineLevel="0" collapsed="false">
      <c r="A13" s="8" t="s">
        <v>514</v>
      </c>
      <c r="B13" s="10" t="s">
        <v>515</v>
      </c>
      <c r="C13" s="10" t="s">
        <v>304</v>
      </c>
      <c r="D13" s="11" t="n">
        <v>46199</v>
      </c>
      <c r="E13" s="10" t="s">
        <v>304</v>
      </c>
      <c r="F13" s="12" t="n">
        <v>100</v>
      </c>
      <c r="G13" s="12" t="n">
        <v>110</v>
      </c>
      <c r="H13" s="13" t="n">
        <f aca="false">IFERROR(G13/F13-1,"")</f>
        <v>0.1</v>
      </c>
      <c r="I13" s="15" t="s">
        <v>69</v>
      </c>
      <c r="J13" s="8" t="s">
        <v>516</v>
      </c>
      <c r="K13" s="8" t="s">
        <v>517</v>
      </c>
    </row>
  </sheetData>
  <autoFilter ref="A4:K1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518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519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520</v>
      </c>
      <c r="B5" s="10" t="s">
        <v>521</v>
      </c>
      <c r="C5" s="10" t="s">
        <v>522</v>
      </c>
      <c r="D5" s="11" t="n">
        <v>45275</v>
      </c>
      <c r="E5" s="10" t="s">
        <v>54</v>
      </c>
      <c r="F5" s="12" t="n">
        <v>72</v>
      </c>
      <c r="G5" s="12" t="n">
        <v>80</v>
      </c>
      <c r="H5" s="13" t="n">
        <f aca="false">IFERROR(G5/F5-1,"")</f>
        <v>0.111111111111111</v>
      </c>
      <c r="I5" s="15" t="s">
        <v>69</v>
      </c>
      <c r="J5" s="8" t="s">
        <v>523</v>
      </c>
      <c r="K5" s="8" t="s">
        <v>524</v>
      </c>
    </row>
    <row r="6" customFormat="false" ht="15" hidden="false" customHeight="false" outlineLevel="0" collapsed="false">
      <c r="A6" s="8" t="s">
        <v>525</v>
      </c>
      <c r="B6" s="10" t="s">
        <v>526</v>
      </c>
      <c r="C6" s="10" t="s">
        <v>522</v>
      </c>
      <c r="D6" s="11" t="n">
        <v>45639</v>
      </c>
      <c r="E6" s="10" t="s">
        <v>54</v>
      </c>
      <c r="F6" s="12" t="n">
        <v>72</v>
      </c>
      <c r="G6" s="12" t="n">
        <v>85</v>
      </c>
      <c r="H6" s="13" t="n">
        <f aca="false">IFERROR(G6/F6-1,"")</f>
        <v>0.180555555555556</v>
      </c>
      <c r="I6" s="15" t="s">
        <v>69</v>
      </c>
      <c r="J6" s="8" t="s">
        <v>527</v>
      </c>
      <c r="K6" s="8" t="s">
        <v>528</v>
      </c>
    </row>
    <row r="7" customFormat="false" ht="15" hidden="false" customHeight="false" outlineLevel="0" collapsed="false">
      <c r="A7" s="8" t="s">
        <v>529</v>
      </c>
      <c r="B7" s="10" t="s">
        <v>530</v>
      </c>
      <c r="C7" s="10" t="s">
        <v>530</v>
      </c>
      <c r="D7" s="11" t="n">
        <v>45037</v>
      </c>
      <c r="E7" s="10" t="s">
        <v>54</v>
      </c>
      <c r="F7" s="12" t="n">
        <v>69</v>
      </c>
      <c r="G7" s="12" t="n">
        <v>75</v>
      </c>
      <c r="H7" s="13" t="n">
        <f aca="false">IFERROR(G7/F7-1,"")</f>
        <v>0.0869565217391304</v>
      </c>
      <c r="I7" s="15" t="s">
        <v>69</v>
      </c>
      <c r="J7" s="8" t="s">
        <v>531</v>
      </c>
      <c r="K7" s="8" t="s">
        <v>532</v>
      </c>
    </row>
    <row r="8" customFormat="false" ht="15" hidden="false" customHeight="false" outlineLevel="0" collapsed="false">
      <c r="A8" s="8" t="s">
        <v>533</v>
      </c>
      <c r="B8" s="10" t="s">
        <v>534</v>
      </c>
      <c r="C8" s="10" t="s">
        <v>535</v>
      </c>
      <c r="D8" s="11" t="n">
        <v>45527</v>
      </c>
      <c r="E8" s="10" t="s">
        <v>54</v>
      </c>
      <c r="F8" s="12" t="n">
        <v>72</v>
      </c>
      <c r="G8" s="12" t="n">
        <v>85</v>
      </c>
      <c r="H8" s="13" t="n">
        <f aca="false">IFERROR(G8/F8-1,"")</f>
        <v>0.180555555555556</v>
      </c>
      <c r="I8" s="15" t="s">
        <v>69</v>
      </c>
      <c r="J8" s="8" t="s">
        <v>536</v>
      </c>
      <c r="K8" s="8" t="s">
        <v>537</v>
      </c>
    </row>
    <row r="9" customFormat="false" ht="15" hidden="false" customHeight="false" outlineLevel="0" collapsed="false">
      <c r="A9" s="8" t="s">
        <v>538</v>
      </c>
      <c r="B9" s="10" t="s">
        <v>539</v>
      </c>
      <c r="C9" s="10" t="s">
        <v>540</v>
      </c>
      <c r="D9" s="11" t="n">
        <v>45401</v>
      </c>
      <c r="E9" s="10" t="s">
        <v>54</v>
      </c>
      <c r="F9" s="12" t="n">
        <v>72</v>
      </c>
      <c r="G9" s="12" t="n">
        <v>80</v>
      </c>
      <c r="H9" s="13" t="n">
        <f aca="false">IFERROR(G9/F9-1,"")</f>
        <v>0.111111111111111</v>
      </c>
      <c r="I9" s="15" t="s">
        <v>69</v>
      </c>
      <c r="J9" s="8" t="s">
        <v>541</v>
      </c>
      <c r="K9" s="8" t="s">
        <v>542</v>
      </c>
    </row>
    <row r="10" customFormat="false" ht="15" hidden="false" customHeight="false" outlineLevel="0" collapsed="false">
      <c r="A10" s="8" t="s">
        <v>543</v>
      </c>
      <c r="B10" s="10" t="s">
        <v>544</v>
      </c>
      <c r="C10" s="10" t="s">
        <v>544</v>
      </c>
      <c r="D10" s="11" t="n">
        <v>44309</v>
      </c>
      <c r="E10" s="10" t="s">
        <v>54</v>
      </c>
      <c r="F10" s="12" t="n">
        <v>65</v>
      </c>
      <c r="G10" s="12" t="n">
        <v>75</v>
      </c>
      <c r="H10" s="13" t="n">
        <f aca="false">IFERROR(G10/F10-1,"")</f>
        <v>0.153846153846154</v>
      </c>
      <c r="I10" s="15" t="s">
        <v>69</v>
      </c>
      <c r="J10" s="8" t="s">
        <v>545</v>
      </c>
      <c r="K10" s="8" t="s">
        <v>546</v>
      </c>
    </row>
    <row r="11" customFormat="false" ht="23.85" hidden="false" customHeight="false" outlineLevel="0" collapsed="false">
      <c r="A11" s="8" t="s">
        <v>547</v>
      </c>
      <c r="B11" s="10" t="s">
        <v>548</v>
      </c>
      <c r="C11" s="10" t="s">
        <v>549</v>
      </c>
      <c r="D11" s="11" t="n">
        <v>44562</v>
      </c>
      <c r="E11" s="10" t="s">
        <v>550</v>
      </c>
      <c r="F11" s="12"/>
      <c r="G11" s="12" t="n">
        <v>200</v>
      </c>
      <c r="H11" s="13"/>
      <c r="I11" s="16" t="s">
        <v>98</v>
      </c>
      <c r="J11" s="8" t="s">
        <v>551</v>
      </c>
      <c r="K11" s="8" t="s">
        <v>552</v>
      </c>
    </row>
    <row r="12" customFormat="false" ht="15" hidden="false" customHeight="false" outlineLevel="0" collapsed="false">
      <c r="A12" s="8" t="s">
        <v>553</v>
      </c>
      <c r="B12" s="10" t="s">
        <v>554</v>
      </c>
      <c r="C12" s="10" t="s">
        <v>474</v>
      </c>
      <c r="D12" s="10" t="s">
        <v>555</v>
      </c>
      <c r="E12" s="10" t="s">
        <v>556</v>
      </c>
      <c r="F12" s="12" t="n">
        <v>17</v>
      </c>
      <c r="G12" s="12" t="n">
        <v>20</v>
      </c>
      <c r="H12" s="13" t="n">
        <f aca="false">IFERROR(G12/F12-1,"")</f>
        <v>0.176470588235294</v>
      </c>
      <c r="I12" s="15" t="s">
        <v>69</v>
      </c>
      <c r="J12" s="8" t="s">
        <v>557</v>
      </c>
      <c r="K12" s="8" t="s">
        <v>558</v>
      </c>
    </row>
    <row r="13" customFormat="false" ht="15" hidden="false" customHeight="false" outlineLevel="0" collapsed="false">
      <c r="A13" s="8" t="s">
        <v>559</v>
      </c>
      <c r="B13" s="10" t="s">
        <v>560</v>
      </c>
      <c r="C13" s="10" t="s">
        <v>561</v>
      </c>
      <c r="D13" s="10" t="s">
        <v>562</v>
      </c>
      <c r="E13" s="10" t="s">
        <v>561</v>
      </c>
      <c r="F13" s="12"/>
      <c r="G13" s="12" t="n">
        <v>95</v>
      </c>
      <c r="H13" s="13"/>
      <c r="I13" s="17" t="s">
        <v>360</v>
      </c>
      <c r="J13" s="8" t="s">
        <v>563</v>
      </c>
      <c r="K13" s="8" t="s">
        <v>564</v>
      </c>
    </row>
  </sheetData>
  <autoFilter ref="A4:K1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565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566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567</v>
      </c>
      <c r="B5" s="10" t="s">
        <v>568</v>
      </c>
      <c r="C5" s="10" t="s">
        <v>569</v>
      </c>
      <c r="D5" s="11" t="n">
        <v>45373</v>
      </c>
      <c r="E5" s="10" t="s">
        <v>54</v>
      </c>
      <c r="F5" s="12" t="n">
        <v>50</v>
      </c>
      <c r="G5" s="12" t="n">
        <v>50</v>
      </c>
      <c r="H5" s="13" t="n">
        <f aca="false">IFERROR(G5/F5-1,"")</f>
        <v>0</v>
      </c>
      <c r="I5" s="15" t="s">
        <v>69</v>
      </c>
      <c r="J5" s="8" t="s">
        <v>570</v>
      </c>
      <c r="K5" s="8" t="s">
        <v>571</v>
      </c>
    </row>
    <row r="6" customFormat="false" ht="15" hidden="false" customHeight="false" outlineLevel="0" collapsed="false">
      <c r="A6" s="8" t="s">
        <v>572</v>
      </c>
      <c r="B6" s="10" t="s">
        <v>573</v>
      </c>
      <c r="C6" s="10" t="s">
        <v>574</v>
      </c>
      <c r="D6" s="11" t="n">
        <v>45534</v>
      </c>
      <c r="E6" s="10" t="s">
        <v>54</v>
      </c>
      <c r="F6" s="12" t="n">
        <v>50</v>
      </c>
      <c r="G6" s="12" t="n">
        <v>55</v>
      </c>
      <c r="H6" s="13" t="n">
        <f aca="false">IFERROR(G6/F6-1,"")</f>
        <v>0.1</v>
      </c>
      <c r="I6" s="15" t="s">
        <v>69</v>
      </c>
      <c r="J6" s="8" t="s">
        <v>575</v>
      </c>
      <c r="K6" s="8" t="s">
        <v>576</v>
      </c>
    </row>
    <row r="7" customFormat="false" ht="15" hidden="false" customHeight="false" outlineLevel="0" collapsed="false">
      <c r="A7" s="8" t="s">
        <v>577</v>
      </c>
      <c r="B7" s="10" t="s">
        <v>578</v>
      </c>
      <c r="C7" s="10" t="s">
        <v>579</v>
      </c>
      <c r="D7" s="11" t="n">
        <v>45716</v>
      </c>
      <c r="E7" s="10" t="s">
        <v>54</v>
      </c>
      <c r="F7" s="12" t="n">
        <v>50</v>
      </c>
      <c r="G7" s="12" t="n">
        <v>60</v>
      </c>
      <c r="H7" s="13" t="n">
        <f aca="false">IFERROR(G7/F7-1,"")</f>
        <v>0.2</v>
      </c>
      <c r="I7" s="15" t="s">
        <v>69</v>
      </c>
      <c r="J7" s="8" t="s">
        <v>580</v>
      </c>
      <c r="K7" s="8" t="s">
        <v>581</v>
      </c>
    </row>
    <row r="8" customFormat="false" ht="15" hidden="false" customHeight="false" outlineLevel="0" collapsed="false">
      <c r="A8" s="8" t="s">
        <v>582</v>
      </c>
      <c r="B8" s="10" t="s">
        <v>583</v>
      </c>
      <c r="C8" s="10" t="s">
        <v>584</v>
      </c>
      <c r="D8" s="11" t="n">
        <v>46052</v>
      </c>
      <c r="E8" s="10" t="s">
        <v>585</v>
      </c>
      <c r="F8" s="12" t="n">
        <v>50</v>
      </c>
      <c r="G8" s="12" t="n">
        <v>60</v>
      </c>
      <c r="H8" s="13" t="n">
        <f aca="false">IFERROR(G8/F8-1,"")</f>
        <v>0.2</v>
      </c>
      <c r="I8" s="15" t="s">
        <v>69</v>
      </c>
      <c r="J8" s="8" t="s">
        <v>586</v>
      </c>
      <c r="K8" s="8" t="s">
        <v>292</v>
      </c>
    </row>
    <row r="9" customFormat="false" ht="15" hidden="false" customHeight="false" outlineLevel="0" collapsed="false">
      <c r="A9" s="8" t="s">
        <v>587</v>
      </c>
      <c r="B9" s="10" t="s">
        <v>588</v>
      </c>
      <c r="C9" s="10" t="s">
        <v>589</v>
      </c>
      <c r="D9" s="11" t="n">
        <v>46052</v>
      </c>
      <c r="E9" s="10" t="s">
        <v>54</v>
      </c>
      <c r="F9" s="12" t="n">
        <v>50</v>
      </c>
      <c r="G9" s="12" t="n">
        <v>60</v>
      </c>
      <c r="H9" s="13" t="n">
        <f aca="false">IFERROR(G9/F9-1,"")</f>
        <v>0.2</v>
      </c>
      <c r="I9" s="15" t="s">
        <v>69</v>
      </c>
      <c r="J9" s="8" t="s">
        <v>590</v>
      </c>
      <c r="K9" s="8" t="s">
        <v>292</v>
      </c>
    </row>
    <row r="10" customFormat="false" ht="15" hidden="false" customHeight="false" outlineLevel="0" collapsed="false">
      <c r="A10" s="8" t="s">
        <v>591</v>
      </c>
      <c r="B10" s="10" t="s">
        <v>592</v>
      </c>
      <c r="C10" s="10" t="s">
        <v>593</v>
      </c>
      <c r="D10" s="11" t="n">
        <v>45982</v>
      </c>
      <c r="E10" s="10" t="s">
        <v>54</v>
      </c>
      <c r="F10" s="12" t="n">
        <v>50</v>
      </c>
      <c r="G10" s="12" t="n">
        <v>60</v>
      </c>
      <c r="H10" s="13" t="n">
        <f aca="false">IFERROR(G10/F10-1,"")</f>
        <v>0.2</v>
      </c>
      <c r="I10" s="15" t="s">
        <v>69</v>
      </c>
      <c r="J10" s="8" t="s">
        <v>594</v>
      </c>
      <c r="K10" s="8" t="s">
        <v>595</v>
      </c>
    </row>
    <row r="11" customFormat="false" ht="15" hidden="false" customHeight="false" outlineLevel="0" collapsed="false">
      <c r="A11" s="8" t="s">
        <v>596</v>
      </c>
      <c r="B11" s="10" t="s">
        <v>597</v>
      </c>
      <c r="C11" s="10" t="s">
        <v>598</v>
      </c>
      <c r="D11" s="11" t="n">
        <v>46235</v>
      </c>
      <c r="E11" s="10" t="s">
        <v>54</v>
      </c>
      <c r="F11" s="12" t="n">
        <v>50</v>
      </c>
      <c r="G11" s="12"/>
      <c r="H11" s="13"/>
      <c r="I11" s="15" t="s">
        <v>69</v>
      </c>
      <c r="J11" s="8" t="s">
        <v>599</v>
      </c>
      <c r="K11" s="8" t="s">
        <v>600</v>
      </c>
    </row>
    <row r="12" customFormat="false" ht="15" hidden="false" customHeight="false" outlineLevel="0" collapsed="false">
      <c r="A12" s="8" t="s">
        <v>601</v>
      </c>
      <c r="B12" s="10" t="s">
        <v>602</v>
      </c>
      <c r="C12" s="10" t="s">
        <v>544</v>
      </c>
      <c r="D12" s="11" t="n">
        <v>46266</v>
      </c>
      <c r="E12" s="10" t="s">
        <v>54</v>
      </c>
      <c r="F12" s="12" t="n">
        <v>50</v>
      </c>
      <c r="G12" s="12"/>
      <c r="H12" s="13"/>
      <c r="I12" s="15" t="s">
        <v>69</v>
      </c>
      <c r="J12" s="8" t="s">
        <v>603</v>
      </c>
      <c r="K12" s="8" t="s">
        <v>604</v>
      </c>
    </row>
    <row r="13" customFormat="false" ht="15" hidden="false" customHeight="false" outlineLevel="0" collapsed="false">
      <c r="A13" s="8" t="s">
        <v>605</v>
      </c>
      <c r="B13" s="10" t="s">
        <v>606</v>
      </c>
      <c r="C13" s="10" t="s">
        <v>569</v>
      </c>
      <c r="D13" s="11" t="n">
        <v>46332</v>
      </c>
      <c r="E13" s="10" t="s">
        <v>54</v>
      </c>
      <c r="F13" s="12" t="n">
        <v>50</v>
      </c>
      <c r="G13" s="12"/>
      <c r="H13" s="13"/>
      <c r="I13" s="15" t="s">
        <v>69</v>
      </c>
      <c r="J13" s="8" t="s">
        <v>607</v>
      </c>
      <c r="K13" s="8" t="s">
        <v>608</v>
      </c>
    </row>
    <row r="14" customFormat="false" ht="15" hidden="false" customHeight="false" outlineLevel="0" collapsed="false">
      <c r="A14" s="8" t="s">
        <v>609</v>
      </c>
      <c r="B14" s="10" t="s">
        <v>610</v>
      </c>
      <c r="C14" s="10" t="s">
        <v>474</v>
      </c>
      <c r="D14" s="10" t="s">
        <v>475</v>
      </c>
      <c r="E14" s="10" t="s">
        <v>611</v>
      </c>
      <c r="F14" s="12" t="n">
        <v>30</v>
      </c>
      <c r="G14" s="12" t="n">
        <v>30</v>
      </c>
      <c r="H14" s="13" t="n">
        <f aca="false">IFERROR(G14/F14-1,"")</f>
        <v>0</v>
      </c>
      <c r="I14" s="17" t="s">
        <v>360</v>
      </c>
      <c r="J14" s="8" t="s">
        <v>612</v>
      </c>
      <c r="K14" s="8" t="s">
        <v>613</v>
      </c>
    </row>
  </sheetData>
  <autoFilter ref="A4:K1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614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615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23.85" hidden="false" customHeight="false" outlineLevel="0" collapsed="false">
      <c r="A5" s="8" t="s">
        <v>616</v>
      </c>
      <c r="B5" s="10" t="s">
        <v>617</v>
      </c>
      <c r="C5" s="10" t="s">
        <v>618</v>
      </c>
      <c r="D5" s="11" t="n">
        <v>46054</v>
      </c>
      <c r="E5" s="10" t="s">
        <v>619</v>
      </c>
      <c r="F5" s="12" t="n">
        <v>100</v>
      </c>
      <c r="G5" s="12" t="n">
        <v>110</v>
      </c>
      <c r="H5" s="13" t="n">
        <f aca="false">IFERROR(G5/F5-1,"")</f>
        <v>0.1</v>
      </c>
      <c r="I5" s="16" t="s">
        <v>98</v>
      </c>
      <c r="J5" s="8" t="s">
        <v>620</v>
      </c>
      <c r="K5" s="8" t="s">
        <v>621</v>
      </c>
    </row>
    <row r="6" customFormat="false" ht="15" hidden="false" customHeight="false" outlineLevel="0" collapsed="false">
      <c r="A6" s="8" t="s">
        <v>622</v>
      </c>
      <c r="B6" s="10" t="s">
        <v>623</v>
      </c>
      <c r="C6" s="10" t="s">
        <v>624</v>
      </c>
      <c r="D6" s="11" t="n">
        <v>46143</v>
      </c>
      <c r="E6" s="10" t="s">
        <v>619</v>
      </c>
      <c r="F6" s="12" t="n">
        <v>250</v>
      </c>
      <c r="G6" s="12" t="n">
        <v>280</v>
      </c>
      <c r="H6" s="13" t="n">
        <f aca="false">IFERROR(G6/F6-1,"")</f>
        <v>0.12</v>
      </c>
      <c r="I6" s="16" t="s">
        <v>98</v>
      </c>
      <c r="J6" s="8" t="s">
        <v>625</v>
      </c>
      <c r="K6" s="8" t="s">
        <v>626</v>
      </c>
    </row>
    <row r="7" customFormat="false" ht="15" hidden="false" customHeight="false" outlineLevel="0" collapsed="false">
      <c r="A7" s="8" t="s">
        <v>627</v>
      </c>
      <c r="B7" s="10" t="s">
        <v>628</v>
      </c>
      <c r="C7" s="10" t="s">
        <v>629</v>
      </c>
      <c r="D7" s="11" t="n">
        <v>46235</v>
      </c>
      <c r="E7" s="10" t="s">
        <v>619</v>
      </c>
      <c r="F7" s="12" t="n">
        <v>200</v>
      </c>
      <c r="G7" s="12" t="n">
        <v>220</v>
      </c>
      <c r="H7" s="13" t="n">
        <f aca="false">IFERROR(G7/F7-1,"")</f>
        <v>0.1</v>
      </c>
      <c r="I7" s="16" t="s">
        <v>98</v>
      </c>
      <c r="J7" s="8" t="s">
        <v>630</v>
      </c>
      <c r="K7" s="8" t="s">
        <v>631</v>
      </c>
    </row>
    <row r="8" customFormat="false" ht="15" hidden="false" customHeight="false" outlineLevel="0" collapsed="false">
      <c r="A8" s="8" t="s">
        <v>632</v>
      </c>
      <c r="B8" s="10" t="s">
        <v>633</v>
      </c>
      <c r="C8" s="10" t="s">
        <v>634</v>
      </c>
      <c r="D8" s="10" t="s">
        <v>252</v>
      </c>
      <c r="E8" s="10" t="s">
        <v>635</v>
      </c>
      <c r="F8" s="12"/>
      <c r="G8" s="12"/>
      <c r="H8" s="13"/>
      <c r="I8" s="14" t="s">
        <v>55</v>
      </c>
      <c r="J8" s="8" t="s">
        <v>636</v>
      </c>
      <c r="K8" s="8" t="s">
        <v>637</v>
      </c>
    </row>
  </sheetData>
  <autoFilter ref="A4:K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638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639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15" hidden="false" customHeight="false" outlineLevel="0" collapsed="false">
      <c r="A5" s="8" t="s">
        <v>640</v>
      </c>
      <c r="B5" s="10" t="s">
        <v>641</v>
      </c>
      <c r="C5" s="10" t="s">
        <v>642</v>
      </c>
      <c r="D5" s="11" t="n">
        <v>45658</v>
      </c>
      <c r="E5" s="10" t="s">
        <v>619</v>
      </c>
      <c r="F5" s="12" t="n">
        <v>350</v>
      </c>
      <c r="G5" s="12" t="n">
        <v>480</v>
      </c>
      <c r="H5" s="13" t="n">
        <f aca="false">IFERROR(G5/F5-1,"")</f>
        <v>0.371428571428571</v>
      </c>
      <c r="I5" s="16" t="s">
        <v>98</v>
      </c>
      <c r="J5" s="8" t="s">
        <v>643</v>
      </c>
      <c r="K5" s="8" t="s">
        <v>644</v>
      </c>
    </row>
    <row r="6" customFormat="false" ht="15" hidden="false" customHeight="false" outlineLevel="0" collapsed="false">
      <c r="A6" s="8" t="s">
        <v>645</v>
      </c>
      <c r="B6" s="10" t="s">
        <v>646</v>
      </c>
      <c r="C6" s="10" t="s">
        <v>647</v>
      </c>
      <c r="D6" s="11" t="n">
        <v>46023</v>
      </c>
      <c r="E6" s="10" t="s">
        <v>619</v>
      </c>
      <c r="F6" s="12" t="n">
        <v>300</v>
      </c>
      <c r="G6" s="12" t="n">
        <v>340</v>
      </c>
      <c r="H6" s="13" t="n">
        <f aca="false">IFERROR(G6/F6-1,"")</f>
        <v>0.133333333333333</v>
      </c>
      <c r="I6" s="16" t="s">
        <v>98</v>
      </c>
      <c r="J6" s="8" t="s">
        <v>648</v>
      </c>
      <c r="K6" s="8" t="s">
        <v>649</v>
      </c>
    </row>
  </sheetData>
  <autoFilter ref="A4:K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650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651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23.85" hidden="false" customHeight="false" outlineLevel="0" collapsed="false">
      <c r="A5" s="8" t="s">
        <v>652</v>
      </c>
      <c r="B5" s="10" t="s">
        <v>653</v>
      </c>
      <c r="C5" s="10" t="s">
        <v>642</v>
      </c>
      <c r="D5" s="11" t="n">
        <v>45901</v>
      </c>
      <c r="E5" s="10" t="s">
        <v>619</v>
      </c>
      <c r="F5" s="12" t="n">
        <v>300</v>
      </c>
      <c r="G5" s="12" t="n">
        <v>400</v>
      </c>
      <c r="H5" s="13" t="n">
        <f aca="false">IFERROR(G5/F5-1,"")</f>
        <v>0.333333333333333</v>
      </c>
      <c r="I5" s="16" t="s">
        <v>98</v>
      </c>
      <c r="J5" s="8" t="s">
        <v>654</v>
      </c>
      <c r="K5" s="8" t="s">
        <v>655</v>
      </c>
    </row>
    <row r="6" customFormat="false" ht="15" hidden="false" customHeight="false" outlineLevel="0" collapsed="false">
      <c r="A6" s="8" t="s">
        <v>656</v>
      </c>
      <c r="B6" s="10" t="s">
        <v>657</v>
      </c>
      <c r="C6" s="10" t="s">
        <v>658</v>
      </c>
      <c r="D6" s="11" t="n">
        <v>46108</v>
      </c>
      <c r="E6" s="10" t="s">
        <v>619</v>
      </c>
      <c r="F6" s="12" t="n">
        <v>250</v>
      </c>
      <c r="G6" s="12" t="n">
        <v>280</v>
      </c>
      <c r="H6" s="13" t="n">
        <f aca="false">IFERROR(G6/F6-1,"")</f>
        <v>0.12</v>
      </c>
      <c r="I6" s="16" t="s">
        <v>98</v>
      </c>
      <c r="J6" s="8" t="s">
        <v>659</v>
      </c>
      <c r="K6" s="8" t="s">
        <v>660</v>
      </c>
    </row>
    <row r="7" customFormat="false" ht="15" hidden="false" customHeight="false" outlineLevel="0" collapsed="false">
      <c r="A7" s="8" t="s">
        <v>661</v>
      </c>
      <c r="B7" s="10" t="s">
        <v>662</v>
      </c>
      <c r="C7" s="10" t="s">
        <v>647</v>
      </c>
      <c r="D7" s="11" t="n">
        <v>46127</v>
      </c>
      <c r="E7" s="10" t="s">
        <v>619</v>
      </c>
      <c r="F7" s="12" t="n">
        <v>250</v>
      </c>
      <c r="G7" s="12" t="n">
        <v>280</v>
      </c>
      <c r="H7" s="13" t="n">
        <f aca="false">IFERROR(G7/F7-1,"")</f>
        <v>0.12</v>
      </c>
      <c r="I7" s="16" t="s">
        <v>98</v>
      </c>
      <c r="J7" s="8" t="s">
        <v>663</v>
      </c>
      <c r="K7" s="8" t="s">
        <v>664</v>
      </c>
    </row>
  </sheetData>
  <autoFilter ref="A4:K7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665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2" t="s">
        <v>666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</row>
    <row r="5" customFormat="false" ht="23.85" hidden="false" customHeight="false" outlineLevel="0" collapsed="false">
      <c r="A5" s="8" t="s">
        <v>667</v>
      </c>
      <c r="B5" s="10" t="s">
        <v>668</v>
      </c>
      <c r="C5" s="10" t="s">
        <v>669</v>
      </c>
      <c r="D5" s="11" t="n">
        <v>46199</v>
      </c>
      <c r="E5" s="10" t="s">
        <v>619</v>
      </c>
      <c r="F5" s="12" t="n">
        <v>300</v>
      </c>
      <c r="G5" s="12" t="n">
        <v>330</v>
      </c>
      <c r="H5" s="13" t="n">
        <f aca="false">IFERROR(G5/F5-1,"")</f>
        <v>0.1</v>
      </c>
      <c r="I5" s="15" t="s">
        <v>69</v>
      </c>
      <c r="J5" s="8" t="s">
        <v>670</v>
      </c>
      <c r="K5" s="8" t="s">
        <v>671</v>
      </c>
    </row>
    <row r="6" customFormat="false" ht="15" hidden="false" customHeight="false" outlineLevel="0" collapsed="false">
      <c r="A6" s="8" t="s">
        <v>672</v>
      </c>
      <c r="B6" s="10" t="s">
        <v>673</v>
      </c>
      <c r="C6" s="10" t="s">
        <v>669</v>
      </c>
      <c r="D6" s="11" t="n">
        <v>46199</v>
      </c>
      <c r="E6" s="10" t="s">
        <v>619</v>
      </c>
      <c r="F6" s="12" t="n">
        <v>200</v>
      </c>
      <c r="G6" s="12" t="n">
        <v>220</v>
      </c>
      <c r="H6" s="13" t="n">
        <f aca="false">IFERROR(G6/F6-1,"")</f>
        <v>0.1</v>
      </c>
      <c r="I6" s="16" t="s">
        <v>98</v>
      </c>
      <c r="J6" s="8" t="s">
        <v>674</v>
      </c>
      <c r="K6" s="8" t="s">
        <v>675</v>
      </c>
    </row>
    <row r="7" customFormat="false" ht="15" hidden="false" customHeight="false" outlineLevel="0" collapsed="false">
      <c r="A7" s="8" t="s">
        <v>676</v>
      </c>
      <c r="B7" s="10" t="s">
        <v>677</v>
      </c>
      <c r="C7" s="10" t="s">
        <v>678</v>
      </c>
      <c r="D7" s="11" t="n">
        <v>45962</v>
      </c>
      <c r="E7" s="10" t="s">
        <v>619</v>
      </c>
      <c r="F7" s="12" t="n">
        <v>150</v>
      </c>
      <c r="G7" s="12" t="n">
        <v>160</v>
      </c>
      <c r="H7" s="13" t="n">
        <f aca="false">IFERROR(G7/F7-1,"")</f>
        <v>0.0666666666666667</v>
      </c>
      <c r="I7" s="16" t="s">
        <v>98</v>
      </c>
      <c r="J7" s="8" t="s">
        <v>679</v>
      </c>
      <c r="K7" s="8" t="s">
        <v>680</v>
      </c>
    </row>
    <row r="8" customFormat="false" ht="15" hidden="false" customHeight="false" outlineLevel="0" collapsed="false">
      <c r="A8" s="8" t="s">
        <v>681</v>
      </c>
      <c r="B8" s="10" t="s">
        <v>682</v>
      </c>
      <c r="C8" s="10" t="s">
        <v>669</v>
      </c>
      <c r="D8" s="11" t="n">
        <v>46143</v>
      </c>
      <c r="E8" s="10" t="s">
        <v>683</v>
      </c>
      <c r="F8" s="12" t="n">
        <v>60</v>
      </c>
      <c r="G8" s="12" t="n">
        <v>65</v>
      </c>
      <c r="H8" s="13" t="n">
        <f aca="false">IFERROR(G8/F8-1,"")</f>
        <v>0.0833333333333333</v>
      </c>
      <c r="I8" s="16" t="s">
        <v>98</v>
      </c>
      <c r="J8" s="8" t="s">
        <v>684</v>
      </c>
      <c r="K8" s="8" t="s">
        <v>685</v>
      </c>
    </row>
  </sheetData>
  <autoFilter ref="A4:K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2026-06-14T20:35:34Z</dcterms:created>
  <dc:creator>openpyxl</dc:creator>
  <dc:description/>
  <dc:language>en-US</dc:language>
  <cp:lastModifiedBy/>
  <dcterms:modified xsi:type="dcterms:W3CDTF">2026-06-14T20:35:34Z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