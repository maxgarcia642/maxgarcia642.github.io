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cquisition Tiers" sheetId="2" state="visible" r:id="rId4"/>
    <sheet name="Coin Target List" sheetId="3" state="visible" r:id="rId5"/>
    <sheet name="ROI &amp; Return Stats" sheetId="4" state="visible" r:id="rId6"/>
    <sheet name="Transaction Cost Model" sheetId="5" state="visible" r:id="rId7"/>
    <sheet name="Melt Calculator" sheetId="6" state="visible" r:id="rId8"/>
    <sheet name="Grading &amp; 3x Test" sheetId="7" state="visible" r:id="rId9"/>
    <sheet name="Market - Local &amp; Regional" sheetId="8" state="visible" r:id="rId10"/>
    <sheet name="Market - National &amp; Online" sheetId="9" state="visible" r:id="rId11"/>
    <sheet name="Market - International" sheetId="10" state="visible" r:id="rId12"/>
    <sheet name="Auction Fee Calculator" sheetId="11" state="visible" r:id="rId13"/>
    <sheet name="Source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<sst xmlns="http://schemas.openxmlformats.org/spreadsheetml/2006/main" count="1031" uniqueCount="738">
  <si>
    <t xml:space="preserve">Numismatics Acquisition Workbook — Northwest Arkansas</t>
  </si>
  <si>
    <t xml:space="preserve">Companion to the research paper · Prepared for Maximiliano Garcia · June 19, 2026</t>
  </si>
  <si>
    <t xml:space="preserve">How to use this workbook</t>
  </si>
  <si>
    <t xml:space="preserve">This workbook operationalizes the companion research paper. It ranks coins and collections to pursue by capital tier, states the return evidence honestly, and maps where to buy and sell — locally in NWA, regionally, nationally/online, and internationally.</t>
  </si>
  <si>
    <t xml:space="preserve">Calculator tabs are live. The blue cells are inputs you can change (spot prices, a coin's value, a hammer price); black cells are formulas that recalculate. Update the three spot prices on 'Melt Calculator' and every melt figure in the workbook updates.</t>
  </si>
  <si>
    <t xml:space="preserve">The honesty rule from the paper carries through here: every figure is flagged by confidence. A 'Realized' value is a documented auction sale; a 'Guide' value is a price-guide range; an 'Est.' value is a synthesized estimate. Tier placements are judgments, not guarantees, and common coins do not appreciate.</t>
  </si>
  <si>
    <t xml:space="preserve">Tab guide</t>
  </si>
  <si>
    <t xml:space="preserve">#</t>
  </si>
  <si>
    <t xml:space="preserve">Tab</t>
  </si>
  <si>
    <t xml:space="preserve">What it does</t>
  </si>
  <si>
    <t xml:space="preserve">1</t>
  </si>
  <si>
    <t xml:space="preserve">README</t>
  </si>
  <si>
    <t xml:space="preserve">This page — orientation, conventions, spot prices, disclaimer.</t>
  </si>
  <si>
    <t xml:space="preserve">2</t>
  </si>
  <si>
    <t xml:space="preserve">Acquisition Tiers</t>
  </si>
  <si>
    <t xml:space="preserve">The four capital tiers: what to pursue and why, with liquidity and upside.</t>
  </si>
  <si>
    <t xml:space="preserve">3</t>
  </si>
  <si>
    <t xml:space="preserve">Coin Target List</t>
  </si>
  <si>
    <t xml:space="preserve">Master ranked list of target coins by tier, with values, confidence, and counterfeit flags.</t>
  </si>
  <si>
    <t xml:space="preserve">4</t>
  </si>
  <si>
    <t xml:space="preserve">ROI &amp; Return Stats</t>
  </si>
  <si>
    <t xml:space="preserve">The return evidence: Lombra, PCGS3000, key-date index, volatility, inflation correlation.</t>
  </si>
  <si>
    <t xml:space="preserve">5</t>
  </si>
  <si>
    <t xml:space="preserve">Transaction Cost Model</t>
  </si>
  <si>
    <t xml:space="preserve">Live model of how dealer spreads and auction fees erode returns; break-even hold period.</t>
  </si>
  <si>
    <t xml:space="preserve">6</t>
  </si>
  <si>
    <t xml:space="preserve">Melt Calculator</t>
  </si>
  <si>
    <t xml:space="preserve">Live precious-metal floor under every silver/gold coin. Edit spot prices here.</t>
  </si>
  <si>
    <t xml:space="preserve">7</t>
  </si>
  <si>
    <t xml:space="preserve">Grading &amp; 3x Test</t>
  </si>
  <si>
    <t xml:space="preserve">Live grading-cost and 3x-test calculator; bulk-submission economics.</t>
  </si>
  <si>
    <t xml:space="preserve">8</t>
  </si>
  <si>
    <t xml:space="preserve">Market - Local &amp; Regional</t>
  </si>
  <si>
    <t xml:space="preserve">NWA dealers and clubs, plus neighboring-state venues and Heritage (Dallas).</t>
  </si>
  <si>
    <t xml:space="preserve">9</t>
  </si>
  <si>
    <t xml:space="preserve">Market - National &amp; Online</t>
  </si>
  <si>
    <t xml:space="preserve">Bullion houses, auction houses with fee structures, retail, and price-discovery references.</t>
  </si>
  <si>
    <t xml:space="preserve">10</t>
  </si>
  <si>
    <t xml:space="preserve">Market - International</t>
  </si>
  <si>
    <t xml:space="preserve">Foreign mints and sources by country, with duty/FX cautions.</t>
  </si>
  <si>
    <t xml:space="preserve">11</t>
  </si>
  <si>
    <t xml:space="preserve">Auction Fee Calculator</t>
  </si>
  <si>
    <t xml:space="preserve">Live buyer-premium and seller-commission model across the major venues.</t>
  </si>
  <si>
    <t xml:space="preserve">12</t>
  </si>
  <si>
    <t xml:space="preserve">Sources</t>
  </si>
  <si>
    <t xml:space="preserve">Numbered references, matching the research paper's citations.</t>
  </si>
  <si>
    <t xml:space="preserve">Spot prices in effect (June 19, 2026)</t>
  </si>
  <si>
    <t xml:space="preserve">Metal</t>
  </si>
  <si>
    <t xml:space="preserve">Spot / troy oz</t>
  </si>
  <si>
    <t xml:space="preserve">Gold</t>
  </si>
  <si>
    <t xml:space="preserve">Silver</t>
  </si>
  <si>
    <t xml:space="preserve">Platinum</t>
  </si>
  <si>
    <t xml:space="preserve">These are the reference levels used throughout. The editable copies that drive the calculators live on the 'Melt Calculator' tab. Source: USA Coin Book; FindBullionPrices (accessed 6/19/2026).</t>
  </si>
  <si>
    <t xml:space="preserve">Disclaimer</t>
  </si>
  <si>
    <t xml:space="preserve">Informational and analytical only; not investment, tax, or legal advice. Coins are a hobby-first, speculative, illiquid asset class. Verify dealer credentials and current prices before transacting. Patience pays. 🦞</t>
  </si>
  <si>
    <t xml:space="preserve">Acquisition Tiers by Deployable Capital</t>
  </si>
  <si>
    <t xml:space="preserve">Bullion floor for liquidity; certified key dates and pre-1933 gold for the appreciating segments. Grade only on the 3x test.</t>
  </si>
  <si>
    <t xml:space="preserve">Tier (capital)</t>
  </si>
  <si>
    <t xml:space="preserve">What to pursue</t>
  </si>
  <si>
    <t xml:space="preserve">Purpose / realistic upside</t>
  </si>
  <si>
    <t xml:space="preserve">Liquidity</t>
  </si>
  <si>
    <t xml:space="preserve">Grade strategy</t>
  </si>
  <si>
    <t xml:space="preserve">Tier 1 — Under $500
(hobbyist starter)</t>
  </si>
  <si>
    <t xml:space="preserve">Junk-silver fractional position (Mercury/Roosevelt dimes, Washington quarters); a few common Morgan/Peace dollars; a Dansco album; the Red Book; common-date BU Silver Eagles.</t>
  </si>
  <si>
    <t xml:space="preserve">Tracks silver; minimal numismatic upside. The point is a liquid floor and education — not appreciation.</t>
  </si>
  <si>
    <t xml:space="preserve">High — sells fast at narrow spreads to any dealer.</t>
  </si>
  <si>
    <t xml:space="preserve">Do not grade. Fees exceed any value added.</t>
  </si>
  <si>
    <t xml:space="preserve">Tier 2 — $500–$2,000</t>
  </si>
  <si>
    <t xml:space="preserve">Certified semi-keys (1921 Mercury dimes, mid-grade Walking Liberty halves); a low-grade/problem 1909-S VDB filler; one or two CAC-stickered common-date type coins; a low-mintage Libertad (1999/2000).</t>
  </si>
  <si>
    <t xml:space="preserve">Begins capturing genuine numismatic value; modest, real upside on keys bought right.</t>
  </si>
  <si>
    <t xml:space="preserve">Moderate — certified keys resell readily; allow days to weeks.</t>
  </si>
  <si>
    <t xml:space="preserve">Selective grading begins. Buy already-slabbed for keys.</t>
  </si>
  <si>
    <t xml:space="preserve">Tier 3 — $2,000–$10,000</t>
  </si>
  <si>
    <t xml:space="preserve">Certified key dates (mid-grade 1914-D cent, lower-grade 1916-D dime, a Carson City GSA Morgan); one piece of pre-1933 gold (common-date $20 near melt-plus-premium); CAC-quality type coins.</t>
  </si>
  <si>
    <t xml:space="preserve">Captures the historically appreciating segments; multi-year hold required to clear friction.</t>
  </si>
  <si>
    <t xml:space="preserve">Lower — weeks to months to sell at a fair price.</t>
  </si>
  <si>
    <t xml:space="preserve">Buy certified below auction comps; apply 3x test to any raw candidate.</t>
  </si>
  <si>
    <t xml:space="preserve">Tier 4 — $10,000+
(serious / investment)</t>
  </si>
  <si>
    <t xml:space="preserve">Finest-affordable key dates with CAC; high-grade pre-1933 gold; registry-quality coins; blue-chip rarities bought below auction comparables.</t>
  </si>
  <si>
    <t xml:space="preserve">Strongest historical appreciation at the quality end — but expect illiquidity and 20–40% round-trip friction.</t>
  </si>
  <si>
    <t xml:space="preserve">Lowest — best disposed via auction consignment.</t>
  </si>
  <si>
    <t xml:space="preserve">CAC-verified, top-tier slabs only. Authentication is paramount.</t>
  </si>
  <si>
    <t xml:space="preserve">Sequencing: build the bullion floor first (Tier 1), then add one tier at a time as knowledge and dealer relationships grow. Never commit capital to coins that you may need on short notice. See 'Transaction Cost Model' for why holding period matters. Source refs: 16, 23–25, 81–83, 101–104.</t>
  </si>
  <si>
    <t xml:space="preserve">Coin Target List — Ranked by Tier</t>
  </si>
  <si>
    <t xml:space="preserve">Buy keys and condition rarities certified. 'Melt floor' coins are valued off metal (see Melt Calculator). </t>
  </si>
  <si>
    <t xml:space="preserve">Series</t>
  </si>
  <si>
    <t xml:space="preserve">Coin / Date</t>
  </si>
  <si>
    <t xml:space="preserve">Tier</t>
  </si>
  <si>
    <t xml:space="preserve">Mintage / status</t>
  </si>
  <si>
    <t xml:space="preserve">Typical circulated</t>
  </si>
  <si>
    <t xml:space="preserve">High-grade / auction record</t>
  </si>
  <si>
    <t xml:space="preserve">Melt?</t>
  </si>
  <si>
    <t xml:space="preserve">Conf.</t>
  </si>
  <si>
    <t xml:space="preserve">Counterfeit</t>
  </si>
  <si>
    <t xml:space="preserve">Cert?</t>
  </si>
  <si>
    <t xml:space="preserve">Notes</t>
  </si>
  <si>
    <t xml:space="preserve">Lincoln cent</t>
  </si>
  <si>
    <t xml:space="preserve">1909-S VDB</t>
  </si>
  <si>
    <t xml:space="preserve">484,000</t>
  </si>
  <si>
    <t xml:space="preserve">$860–$930 (G)</t>
  </si>
  <si>
    <t xml:space="preserve">MS67 RD $168,000 (Heritage 2022)</t>
  </si>
  <si>
    <t xml:space="preserve">-</t>
  </si>
  <si>
    <t xml:space="preserve">Realized</t>
  </si>
  <si>
    <t xml:space="preserve">High</t>
  </si>
  <si>
    <t xml:space="preserve">Y</t>
  </si>
  <si>
    <t xml:space="preserve">Premier Lincoln key; heavily faked. Buy slabbed.</t>
  </si>
  <si>
    <t xml:space="preserve">1914-D</t>
  </si>
  <si>
    <t xml:space="preserve">1,193,000</t>
  </si>
  <si>
    <t xml:space="preserve">~$225 (avg circ)</t>
  </si>
  <si>
    <t xml:space="preserve">MS66 RD ≈$81,075 (Heritage)</t>
  </si>
  <si>
    <t xml:space="preserve">Guide</t>
  </si>
  <si>
    <t xml:space="preserve">Often altered from 1944. Authenticate.</t>
  </si>
  <si>
    <t xml:space="preserve">1922 No-D (Strong Rev.)</t>
  </si>
  <si>
    <t xml:space="preserve">die-fill error</t>
  </si>
  <si>
    <t xml:space="preserve">~$666</t>
  </si>
  <si>
    <t xml:space="preserve">MS62 BN $13,800; $10k–$19k+ MS</t>
  </si>
  <si>
    <t xml:space="preserve">Med</t>
  </si>
  <si>
    <t xml:space="preserve">Only Strong Reverse is the recognized variety.</t>
  </si>
  <si>
    <t xml:space="preserve">1931-S</t>
  </si>
  <si>
    <t xml:space="preserve">866,000</t>
  </si>
  <si>
    <t xml:space="preserve">$100–$150</t>
  </si>
  <si>
    <t xml:space="preserve">Gem RD = multiples of guide</t>
  </si>
  <si>
    <t xml:space="preserve">Low</t>
  </si>
  <si>
    <t xml:space="preserve">N</t>
  </si>
  <si>
    <t xml:space="preserve">Affordable semi-key; low mintage.</t>
  </si>
  <si>
    <t xml:space="preserve">1955 Doubled Die Obv.</t>
  </si>
  <si>
    <t xml:space="preserve">~20,000–24,000</t>
  </si>
  <si>
    <t xml:space="preserve">$1,200–$1,800 (AU)</t>
  </si>
  <si>
    <t xml:space="preserve">MS65+ RD $114,000 (Stack's 2018)</t>
  </si>
  <si>
    <t xml:space="preserve">Confirm true DDO vs machine doubling.</t>
  </si>
  <si>
    <t xml:space="preserve">1943 bronze (off-metal)</t>
  </si>
  <si>
    <t xml:space="preserve">~15–20 known</t>
  </si>
  <si>
    <t xml:space="preserve">n/a (all rare)</t>
  </si>
  <si>
    <t xml:space="preserve">1943-D unique $1.7M (2010); $204k AU (2019)</t>
  </si>
  <si>
    <t xml:space="preserve">Extreme</t>
  </si>
  <si>
    <t xml:space="preserve">Magnet test: genuine is NON-magnetic.</t>
  </si>
  <si>
    <t xml:space="preserve">1944 steel (off-metal)</t>
  </si>
  <si>
    <t xml:space="preserve">~30+ known</t>
  </si>
  <si>
    <t xml:space="preserve">1944-S MS66 ≈$490,500 (2025)</t>
  </si>
  <si>
    <t xml:space="preserve">Magnet test: genuine steel IS magnetic.</t>
  </si>
  <si>
    <t xml:space="preserve">1969-S DDO</t>
  </si>
  <si>
    <t xml:space="preserve">very few known</t>
  </si>
  <si>
    <t xml:space="preserve">$25,000–$50,000+</t>
  </si>
  <si>
    <t xml:space="preserve">Gem RD six figures</t>
  </si>
  <si>
    <t xml:space="preserve">Major cherry-pick; almost always certified.</t>
  </si>
  <si>
    <t xml:space="preserve">1972 DDO</t>
  </si>
  <si>
    <t xml:space="preserve">~250,000 est.</t>
  </si>
  <si>
    <t xml:space="preserve">$300–$600 (MS)</t>
  </si>
  <si>
    <t xml:space="preserve">Gem RD low four figures</t>
  </si>
  <si>
    <t xml:space="preserve">Most attainable major Lincoln DDO.</t>
  </si>
  <si>
    <t xml:space="preserve">Indian Head cent</t>
  </si>
  <si>
    <t xml:space="preserve">1877</t>
  </si>
  <si>
    <t xml:space="preserve">852,500</t>
  </si>
  <si>
    <t xml:space="preserve">$700–$1,000</t>
  </si>
  <si>
    <t xml:space="preserve">Gem RD five figures</t>
  </si>
  <si>
    <t xml:space="preserve">Key Indian Head date.</t>
  </si>
  <si>
    <t xml:space="preserve">1909-S</t>
  </si>
  <si>
    <t xml:space="preserve">309,000</t>
  </si>
  <si>
    <t xml:space="preserve">$650–$900</t>
  </si>
  <si>
    <t xml:space="preserve">Gem RD four–five figures</t>
  </si>
  <si>
    <t xml:space="preserve">Low-mintage series key.</t>
  </si>
  <si>
    <t xml:space="preserve">Flying Eagle cent</t>
  </si>
  <si>
    <t xml:space="preserve">1856 (pattern/key)</t>
  </si>
  <si>
    <t xml:space="preserve">~2,000 est.</t>
  </si>
  <si>
    <t xml:space="preserve">$6,000–$12,000</t>
  </si>
  <si>
    <t xml:space="preserve">Gem five–six figures</t>
  </si>
  <si>
    <t xml:space="preserve">Classic rarity; authenticate.</t>
  </si>
  <si>
    <t xml:space="preserve">Large Cent</t>
  </si>
  <si>
    <t xml:space="preserve">1793 Chain / Wreath</t>
  </si>
  <si>
    <t xml:space="preserve">first U.S. cents</t>
  </si>
  <si>
    <t xml:space="preserve">$5,000–$25,000+</t>
  </si>
  <si>
    <t xml:space="preserve">Six figures (choice)</t>
  </si>
  <si>
    <t xml:space="preserve">Early type; condition-sensitive.</t>
  </si>
  <si>
    <t xml:space="preserve">Two-cent piece</t>
  </si>
  <si>
    <t xml:space="preserve">1864 Small Motto</t>
  </si>
  <si>
    <t xml:space="preserve">key variety</t>
  </si>
  <si>
    <t xml:space="preserve">$300–$700</t>
  </si>
  <si>
    <t xml:space="preserve">Gem four figures</t>
  </si>
  <si>
    <t xml:space="preserve">First 'In God We Trust'. Type-set play.</t>
  </si>
  <si>
    <t xml:space="preserve">Buffalo nickel</t>
  </si>
  <si>
    <t xml:space="preserve">1913-S Type 2</t>
  </si>
  <si>
    <t xml:space="preserve">1,209,000</t>
  </si>
  <si>
    <t xml:space="preserve">$400–$900</t>
  </si>
  <si>
    <t xml:space="preserve">MS67+ $84,000 (Heritage 2025)</t>
  </si>
  <si>
    <t xml:space="preserve">First-year Type 2 key.</t>
  </si>
  <si>
    <t xml:space="preserve">1926-S</t>
  </si>
  <si>
    <t xml:space="preserve">970,000</t>
  </si>
  <si>
    <t xml:space="preserve">$30 (worn)–$15,000+</t>
  </si>
  <si>
    <t xml:space="preserve">High grade five figures</t>
  </si>
  <si>
    <t xml:space="preserve">Key regular-issue date; rare in MS.</t>
  </si>
  <si>
    <t xml:space="preserve">1937-D 3-Legged</t>
  </si>
  <si>
    <t xml:space="preserve">die-polish error</t>
  </si>
  <si>
    <t xml:space="preserve">$500–$3,000 (circ)</t>
  </si>
  <si>
    <t xml:space="preserve">MS66+ ≈$99,875 (Legend 2021)</t>
  </si>
  <si>
    <t xml:space="preserve">Confirm genuine vs added-leg removal.</t>
  </si>
  <si>
    <t xml:space="preserve">Liberty nickel</t>
  </si>
  <si>
    <t xml:space="preserve">1913 (5 known)</t>
  </si>
  <si>
    <t xml:space="preserve">5 known</t>
  </si>
  <si>
    <t xml:space="preserve">n/a</t>
  </si>
  <si>
    <t xml:space="preserve">$4.2M (2022)</t>
  </si>
  <si>
    <t xml:space="preserve">Iconic rarity; out of reach for most.</t>
  </si>
  <si>
    <t xml:space="preserve">Jefferson nickel</t>
  </si>
  <si>
    <t xml:space="preserve">1942–45 war (35% Ag)</t>
  </si>
  <si>
    <t xml:space="preserve">wartime issue</t>
  </si>
  <si>
    <t xml:space="preserve">melt + small premium</t>
  </si>
  <si>
    <t xml:space="preserve">Full Steps premium</t>
  </si>
  <si>
    <t xml:space="preserve">Silver wartime alloy; melt floor applies.</t>
  </si>
  <si>
    <t xml:space="preserve">Mercury dime</t>
  </si>
  <si>
    <t xml:space="preserve">1916-D</t>
  </si>
  <si>
    <t xml:space="preserve">264,000</t>
  </si>
  <si>
    <t xml:space="preserve">$1,248 (G)–$32,662 (gem)</t>
  </si>
  <si>
    <t xml:space="preserve">FB examples $300,000+</t>
  </si>
  <si>
    <t xml:space="preserve">Most-counterfeited dime. Never buy raw.</t>
  </si>
  <si>
    <t xml:space="preserve">1942/1 overdate</t>
  </si>
  <si>
    <t xml:space="preserve">overdate variety</t>
  </si>
  <si>
    <t xml:space="preserve">$600–$850 (circ)</t>
  </si>
  <si>
    <t xml:space="preserve">MS FB five figures</t>
  </si>
  <si>
    <t xml:space="preserve">Overdate; authenticate.</t>
  </si>
  <si>
    <t xml:space="preserve">1921 / 1921-D</t>
  </si>
  <si>
    <t xml:space="preserve">1.23M / 1.08M</t>
  </si>
  <si>
    <t xml:space="preserve">$80–$200</t>
  </si>
  <si>
    <t xml:space="preserve">Gem FB four–five figures</t>
  </si>
  <si>
    <t xml:space="preserve">Affordable semi-keys.</t>
  </si>
  <si>
    <t xml:space="preserve">Barber dime</t>
  </si>
  <si>
    <t xml:space="preserve">1895-O</t>
  </si>
  <si>
    <t xml:space="preserve">440,000</t>
  </si>
  <si>
    <t xml:space="preserve">$600–$1,500</t>
  </si>
  <si>
    <t xml:space="preserve">Gem five figures</t>
  </si>
  <si>
    <t xml:space="preserve">Series key.</t>
  </si>
  <si>
    <t xml:space="preserve">Standing Liberty 25c</t>
  </si>
  <si>
    <t xml:space="preserve">1916</t>
  </si>
  <si>
    <t xml:space="preserve">52,000</t>
  </si>
  <si>
    <t xml:space="preserve">$1,500–$5,000+</t>
  </si>
  <si>
    <t xml:space="preserve">Gem FH five–six figures</t>
  </si>
  <si>
    <t xml:space="preserve">First-year rarity.</t>
  </si>
  <si>
    <t xml:space="preserve">1918/7-S overdate</t>
  </si>
  <si>
    <t xml:space="preserve">$2,000–$10,000 (circ)</t>
  </si>
  <si>
    <t xml:space="preserve">MS64 FH $336,000 (Heritage 2020)</t>
  </si>
  <si>
    <t xml:space="preserve">Dramatic overdate key.</t>
  </si>
  <si>
    <t xml:space="preserve">Washington 25c</t>
  </si>
  <si>
    <t xml:space="preserve">1932-D / 1932-S</t>
  </si>
  <si>
    <t xml:space="preserve">436k / 408k</t>
  </si>
  <si>
    <t xml:space="preserve">$100–$300</t>
  </si>
  <si>
    <t xml:space="preserve">Gem four–five figures</t>
  </si>
  <si>
    <t xml:space="preserve">Series keys; 90% silver floor.</t>
  </si>
  <si>
    <t xml:space="preserve">Walking Liberty 50c</t>
  </si>
  <si>
    <t xml:space="preserve">1921 / 1921-D / 1921-S</t>
  </si>
  <si>
    <t xml:space="preserve">low-mintage keys</t>
  </si>
  <si>
    <t xml:space="preserve">$150–$1,000+</t>
  </si>
  <si>
    <t xml:space="preserve">Early keys; silver floor.</t>
  </si>
  <si>
    <t xml:space="preserve">Common dates (1941–47)</t>
  </si>
  <si>
    <t xml:space="preserve">common</t>
  </si>
  <si>
    <t xml:space="preserve">Gem premium</t>
  </si>
  <si>
    <t xml:space="preserve">Bullion-tier; 90% silver.</t>
  </si>
  <si>
    <t xml:space="preserve">Morgan $1</t>
  </si>
  <si>
    <t xml:space="preserve">1893-S</t>
  </si>
  <si>
    <t xml:space="preserve">100,000</t>
  </si>
  <si>
    <t xml:space="preserve">$3,000–$8,000 (circ)</t>
  </si>
  <si>
    <t xml:space="preserve">Finest MS67 ≈$2M</t>
  </si>
  <si>
    <t xml:space="preserve">King of Morgans; counterfeit magnet.</t>
  </si>
  <si>
    <t xml:space="preserve">1889-CC</t>
  </si>
  <si>
    <t xml:space="preserve">350,000</t>
  </si>
  <si>
    <t xml:space="preserve">$1,000+ (low circ)</t>
  </si>
  <si>
    <t xml:space="preserve">Finest MS68 &gt; $880,000</t>
  </si>
  <si>
    <t xml:space="preserve">Premier CC date.</t>
  </si>
  <si>
    <t xml:space="preserve">1879-CC / 1893-CC / 1894</t>
  </si>
  <si>
    <t xml:space="preserve">scarce CC/Phil.</t>
  </si>
  <si>
    <t xml:space="preserve">$300–$3,000</t>
  </si>
  <si>
    <t xml:space="preserve">Better CC and Philadelphia keys.</t>
  </si>
  <si>
    <t xml:space="preserve">GSA Carson City (1882–84-CC)</t>
  </si>
  <si>
    <t xml:space="preserve">GSA hoard</t>
  </si>
  <si>
    <t xml:space="preserve">$200–$500</t>
  </si>
  <si>
    <t xml:space="preserve">Gem MS premium</t>
  </si>
  <si>
    <t xml:space="preserve">GSA-holdered CC; entry to CC Morgans.</t>
  </si>
  <si>
    <t xml:space="preserve">Common date (BU)</t>
  </si>
  <si>
    <t xml:space="preserve">~$53 melt + premium</t>
  </si>
  <si>
    <t xml:space="preserve">Bullion-tier accumulation.</t>
  </si>
  <si>
    <t xml:space="preserve">Peace $1</t>
  </si>
  <si>
    <t xml:space="preserve">1921 High Relief</t>
  </si>
  <si>
    <t xml:space="preserve">1,006,473</t>
  </si>
  <si>
    <t xml:space="preserve">$150–$400</t>
  </si>
  <si>
    <t xml:space="preserve">First-year high relief key.</t>
  </si>
  <si>
    <t xml:space="preserve">1928 (Philadelphia)</t>
  </si>
  <si>
    <t xml:space="preserve">360,649</t>
  </si>
  <si>
    <t xml:space="preserve">$300–$600</t>
  </si>
  <si>
    <t xml:space="preserve">Lowest-mintage Peace key.</t>
  </si>
  <si>
    <t xml:space="preserve">Trade $1</t>
  </si>
  <si>
    <t xml:space="preserve">1873–85 (type)</t>
  </si>
  <si>
    <t xml:space="preserve">circulated in Asia</t>
  </si>
  <si>
    <t xml:space="preserve">$150–$500</t>
  </si>
  <si>
    <t xml:space="preserve">Chop-marked common; counterfeited.</t>
  </si>
  <si>
    <t xml:space="preserve">Saint-Gaudens $20</t>
  </si>
  <si>
    <t xml:space="preserve">Common date (pre-1933)</t>
  </si>
  <si>
    <t xml:space="preserve">varies</t>
  </si>
  <si>
    <t xml:space="preserve">~$4,081 melt + premium</t>
  </si>
  <si>
    <t xml:space="preserve">Pre-1933 gold; mostly a metal play.</t>
  </si>
  <si>
    <t xml:space="preserve">1933 (1 ownable)</t>
  </si>
  <si>
    <t xml:space="preserve">445,500 struck/melted</t>
  </si>
  <si>
    <t xml:space="preserve">$18,872,250 (Sotheby's 2021)</t>
  </si>
  <si>
    <t xml:space="preserve">Record coin; reference only.</t>
  </si>
  <si>
    <t xml:space="preserve">Liberty $20</t>
  </si>
  <si>
    <t xml:space="preserve">Better dates / CC</t>
  </si>
  <si>
    <t xml:space="preserve">$2,500–$25,000+</t>
  </si>
  <si>
    <t xml:space="preserve">Date rarity + gold floor.</t>
  </si>
  <si>
    <t xml:space="preserve">Quarter eagle $2.5</t>
  </si>
  <si>
    <t xml:space="preserve">Indian (1908–29) type</t>
  </si>
  <si>
    <t xml:space="preserve">~$510 melt + premium</t>
  </si>
  <si>
    <t xml:space="preserve">Incuse design; counterfeited.</t>
  </si>
  <si>
    <t xml:space="preserve">American Silver Eagle</t>
  </si>
  <si>
    <t xml:space="preserve">1996 (key bullion)</t>
  </si>
  <si>
    <t xml:space="preserve">3,603,386</t>
  </si>
  <si>
    <t xml:space="preserve">$800–$2,000 (MS70)</t>
  </si>
  <si>
    <t xml:space="preserve">MS70 premium</t>
  </si>
  <si>
    <t xml:space="preserve">Lowest-mintage bullion ASE.</t>
  </si>
  <si>
    <t xml:space="preserve">1995-W proof</t>
  </si>
  <si>
    <t xml:space="preserve">~30,125</t>
  </si>
  <si>
    <t xml:space="preserve">$3,000–$18,000+</t>
  </si>
  <si>
    <t xml:space="preserve">PR70 high four–five figures</t>
  </si>
  <si>
    <t xml:space="preserve">Series key proof.</t>
  </si>
  <si>
    <t xml:space="preserve">2019-S Enhanced Rev. Proof</t>
  </si>
  <si>
    <t xml:space="preserve">~99,675</t>
  </si>
  <si>
    <t xml:space="preserve">$1,500–$2,500+</t>
  </si>
  <si>
    <t xml:space="preserve">70-grade premium</t>
  </si>
  <si>
    <t xml:space="preserve">Modern low-mintage key.</t>
  </si>
  <si>
    <t xml:space="preserve">Mexican Libertad</t>
  </si>
  <si>
    <t xml:space="preserve">1998 (series key)</t>
  </si>
  <si>
    <t xml:space="preserve">67,000</t>
  </si>
  <si>
    <t xml:space="preserve">MS69 ~$2,500; MS70 ~$6,000</t>
  </si>
  <si>
    <t xml:space="preserve">Lowest-mintage Libertad.</t>
  </si>
  <si>
    <t xml:space="preserve">1997 / 1999 (keys)</t>
  </si>
  <si>
    <t xml:space="preserve">100k / 95k</t>
  </si>
  <si>
    <t xml:space="preserve">~25% over spot – four figures</t>
  </si>
  <si>
    <t xml:space="preserve">'Holy Trinity' low-mintage keys.</t>
  </si>
  <si>
    <t xml:space="preserve">2008–24 (MS69)</t>
  </si>
  <si>
    <t xml:space="preserve">~25% over spot</t>
  </si>
  <si>
    <t xml:space="preserve">Affordable modern accumulation.</t>
  </si>
  <si>
    <t xml:space="preserve">Confidence: Realized = a specific documented auction sale; Guide = published price-guide value/range (PCGS CoinFacts, dealer guides); Est. = synthesized estimate. Forward/forecast figures are NOT verifiable facts.  'Melt?' = Y means a precious-metal floor applies (see Melt Calculator). 'Cert?' = Y means buy certified by PCGS/NGC/CAC. Source refs: 44–80, 100, 106.</t>
  </si>
  <si>
    <t xml:space="preserve">ROI &amp; Return Statistics</t>
  </si>
  <si>
    <t xml:space="preserve">Gross figures from the literature. Net of 10–40% transaction costs, generic coins underperform — see Transaction Cost Model.</t>
  </si>
  <si>
    <t xml:space="preserve">A. Lombra study — compound annual returns, 1979–2016 (dealer-commissioned; gross of costs)</t>
  </si>
  <si>
    <t xml:space="preserve">Asset</t>
  </si>
  <si>
    <t xml:space="preserve">CAGR</t>
  </si>
  <si>
    <t xml:space="preserve">Std. dev.</t>
  </si>
  <si>
    <t xml:space="preserve">Worst year</t>
  </si>
  <si>
    <t xml:space="preserve">Note</t>
  </si>
  <si>
    <t xml:space="preserve">U.S. equities</t>
  </si>
  <si>
    <t xml:space="preserve">Benchmark</t>
  </si>
  <si>
    <t xml:space="preserve">Rare coins (MS65)</t>
  </si>
  <si>
    <t xml:space="preserve">Highest volatility in study</t>
  </si>
  <si>
    <t xml:space="preserve">Gold-type coins (MS63–65)</t>
  </si>
  <si>
    <t xml:space="preserve">Numismatic gold</t>
  </si>
  <si>
    <t xml:space="preserve">Long-term Treasury bonds</t>
  </si>
  <si>
    <t xml:space="preserve">Gold bullion</t>
  </si>
  <si>
    <t xml:space="preserve">Inflation correlation: coins ≈ 0.59 vs gold ≈ 0.28 (Lombra). Source ref: 16, 19.</t>
  </si>
  <si>
    <t xml:space="preserve">B. Coin-market indices — the honest recent window</t>
  </si>
  <si>
    <t xml:space="preserve">Index</t>
  </si>
  <si>
    <t xml:space="preserve">Annualized</t>
  </si>
  <si>
    <t xml:space="preserve">Window</t>
  </si>
  <si>
    <t xml:space="preserve">PCGS3000 (broad basket)</t>
  </si>
  <si>
    <t xml:space="preserve">2000–2025</t>
  </si>
  <si>
    <t xml:space="preserve">Generic coins ≈ tracked metal</t>
  </si>
  <si>
    <t xml:space="preserve">PCGS Key Dates &amp; Rarities</t>
  </si>
  <si>
    <t xml:space="preserve">Curated keys outperformed generics</t>
  </si>
  <si>
    <t xml:space="preserve">PCGS3000 (full run)</t>
  </si>
  <si>
    <t xml:space="preserve">~7,000% total</t>
  </si>
  <si>
    <t xml:space="preserve">1970–2023</t>
  </si>
  <si>
    <t xml:space="preserve">+7,000% headline, inflation-era driven</t>
  </si>
  <si>
    <t xml:space="preserve">Source refs: 23–25.</t>
  </si>
  <si>
    <t xml:space="preserve">C. Academic 'emotional asset' evidence</t>
  </si>
  <si>
    <t xml:space="preserve">Asset / metric</t>
  </si>
  <si>
    <t xml:space="preserve">Real return</t>
  </si>
  <si>
    <t xml:space="preserve">British collectible stamps</t>
  </si>
  <si>
    <t xml:space="preserve">1900–2012</t>
  </si>
  <si>
    <t xml:space="preserve">Dimson &amp; Spaenjers</t>
  </si>
  <si>
    <t xml:space="preserve">Fine violins</t>
  </si>
  <si>
    <t xml:space="preserve">Emotional yield (13 collectible classes)</t>
  </si>
  <si>
    <t xml:space="preserve">avg/yr</t>
  </si>
  <si>
    <t xml:space="preserve">Return forgone for ownership pleasure</t>
  </si>
  <si>
    <t xml:space="preserve">Collectibles beat bonds/bills/gold long-run but trail equities once volatility and costs are recognized. Source refs: 17, 18.</t>
  </si>
  <si>
    <t xml:space="preserve">D. Transaction-cost reality (the decisive factor)</t>
  </si>
  <si>
    <t xml:space="preserve">Cost</t>
  </si>
  <si>
    <t xml:space="preserve">Range</t>
  </si>
  <si>
    <t xml:space="preserve">Dealer buy/sell spread</t>
  </si>
  <si>
    <t xml:space="preserve">10–40%</t>
  </si>
  <si>
    <t xml:space="preserve">Of retail; charged on entry and exit</t>
  </si>
  <si>
    <t xml:space="preserve">Auction buyer's premium</t>
  </si>
  <si>
    <t xml:space="preserve">20–22%</t>
  </si>
  <si>
    <t xml:space="preserve">Heritage 22% on U.S. coins (1/1/2026)</t>
  </si>
  <si>
    <t xml:space="preserve">Auction seller's commission</t>
  </si>
  <si>
    <t xml:space="preserve">0–10%</t>
  </si>
  <si>
    <t xml:space="preserve">Negotiable; 0 at GreatCollections</t>
  </si>
  <si>
    <t xml:space="preserve">eBay direct-sale fees</t>
  </si>
  <si>
    <t xml:space="preserve">~13%</t>
  </si>
  <si>
    <t xml:space="preserve">Plus shipping and chargeback risk</t>
  </si>
  <si>
    <t xml:space="preserve">These dominate net returns. The model on the next tab quantifies the break-even hold period. Source refs: 89–97.</t>
  </si>
  <si>
    <t xml:space="preserve">Transaction-Cost &amp; Hold-Period Model</t>
  </si>
  <si>
    <t xml:space="preserve">Live. Edit the blue inputs. Shows what a coin must appreciate just to break even after round-trip friction.</t>
  </si>
  <si>
    <t xml:space="preserve">Inputs (edit blue cells)</t>
  </si>
  <si>
    <t xml:space="preserve">Purchase price (retail) ($)</t>
  </si>
  <si>
    <t xml:space="preserve">What you pay at retail</t>
  </si>
  <si>
    <t xml:space="preserve">Buy-side premium over wholesale (%)</t>
  </si>
  <si>
    <t xml:space="preserve">Retail markup baked into purchase</t>
  </si>
  <si>
    <t xml:space="preserve">Sell-side method haircut (%)</t>
  </si>
  <si>
    <t xml:space="preserve">Dealer bid discount OR auction fees on exit</t>
  </si>
  <si>
    <t xml:space="preserve">Annual appreciation assumed (%)</t>
  </si>
  <si>
    <t xml:space="preserve">Optimistic for curated keys; ~0 for generics</t>
  </si>
  <si>
    <t xml:space="preserve">Holding period (years)</t>
  </si>
  <si>
    <t xml:space="preserve">Years held before sale</t>
  </si>
  <si>
    <t xml:space="preserve">Outputs (formulas)</t>
  </si>
  <si>
    <t xml:space="preserve">Effective wholesale value at purchase</t>
  </si>
  <si>
    <t xml:space="preserve">Gross value after appreciation</t>
  </si>
  <si>
    <t xml:space="preserve">Net proceeds at sale (after sell haircut)</t>
  </si>
  <si>
    <t xml:space="preserve">Net gain / (loss) vs purchase</t>
  </si>
  <si>
    <t xml:space="preserve">Net return on purchase (total)</t>
  </si>
  <si>
    <t xml:space="preserve">Break-even appreciation needed (total)</t>
  </si>
  <si>
    <t xml:space="preserve">Break-even years at assumed appreciation</t>
  </si>
  <si>
    <t xml:space="preserve">Reading it: with a 15% exit haircut, a coin must appreciate ~17.6% in total just to break even on the sale, before counting the buy-side premium already paid. At 5%/yr that is ~3.3 years to break even; at 0%/yr (typical for generic coins) it never does. This is the arithmetic case for (a) buying keys below comps, (b) minimizing fees via low-premium channels, and (c) holding for years. Source refs: 26, 89–97.</t>
  </si>
  <si>
    <t xml:space="preserve">Melt Value Calculator — Live</t>
  </si>
  <si>
    <t xml:space="preserve">Edit the three blue spot prices; every melt figure recalculates. This is the intrinsic floor under common silver/gold coins.</t>
  </si>
  <si>
    <t xml:space="preserve">Spot prices — EDIT THESE (per troy ounce)</t>
  </si>
  <si>
    <t xml:space="preserve">Source: USA Coin Book / FindBullionPrices, 6/19/2026</t>
  </si>
  <si>
    <t xml:space="preserve">Silver coins — melt = content × silver spot</t>
  </si>
  <si>
    <t xml:space="preserve">Coin</t>
  </si>
  <si>
    <t xml:space="preserve">Silver content (oz)</t>
  </si>
  <si>
    <t xml:space="preserve">Melt value</t>
  </si>
  <si>
    <t xml:space="preserve">90% silver, per $1 face</t>
  </si>
  <si>
    <t xml:space="preserve">Junk-silver benchmark</t>
  </si>
  <si>
    <t xml:space="preserve">Morgan / Peace dollar</t>
  </si>
  <si>
    <t xml:space="preserve">Pre-1936 / 1921–1935</t>
  </si>
  <si>
    <t xml:space="preserve">Walking Liberty / Franklin 50c</t>
  </si>
  <si>
    <t xml:space="preserve">90% half dollar</t>
  </si>
  <si>
    <t xml:space="preserve">Kennedy half 40% (1965–70)</t>
  </si>
  <si>
    <t xml:space="preserve">Clad-silver composition</t>
  </si>
  <si>
    <t xml:space="preserve">Quarter (90%, pre-1965)</t>
  </si>
  <si>
    <t xml:space="preserve">Washington / SLQ / Barber</t>
  </si>
  <si>
    <t xml:space="preserve">Dime (90%, pre-1965)</t>
  </si>
  <si>
    <t xml:space="preserve">Roosevelt / Mercury / Barber</t>
  </si>
  <si>
    <t xml:space="preserve">War nickel (35%, 1942–45)</t>
  </si>
  <si>
    <t xml:space="preserve">Silver wartime alloy</t>
  </si>
  <si>
    <t xml:space="preserve">American Silver Eagle (1 oz)</t>
  </si>
  <si>
    <t xml:space="preserve">Plus $5–$10 bullion premium</t>
  </si>
  <si>
    <t xml:space="preserve">Mexican Libertad (1 oz Ag)</t>
  </si>
  <si>
    <t xml:space="preserve">Plus numismatic premium on keys</t>
  </si>
  <si>
    <t xml:space="preserve">Gold coins — melt = content × gold spot</t>
  </si>
  <si>
    <t xml:space="preserve">Gold content (oz)</t>
  </si>
  <si>
    <t xml:space="preserve">$20 double eagle (Saint / Liberty)</t>
  </si>
  <si>
    <t xml:space="preserve">Pre-1933 gold</t>
  </si>
  <si>
    <t xml:space="preserve">$10 eagle</t>
  </si>
  <si>
    <t xml:space="preserve">$5 half eagle</t>
  </si>
  <si>
    <t xml:space="preserve">$2.50 quarter eagle</t>
  </si>
  <si>
    <t xml:space="preserve">American Gold Eagle (1 oz)</t>
  </si>
  <si>
    <t xml:space="preserve">22k but 1 oz gold content</t>
  </si>
  <si>
    <t xml:space="preserve">Gold Buffalo (1 oz, .9999)</t>
  </si>
  <si>
    <t xml:space="preserve">Pure gold</t>
  </si>
  <si>
    <t xml:space="preserve">Melt is a floor for COMMON coins only. For key dates and high grades the numismatic value far exceeds metal value, and melting such coins destroys their premium. Note: melting/exporting U.S. cents and nickels has been prohibited since 2006 (31 CFR 82). Source refs: 81–83, 110.</t>
  </si>
  <si>
    <t xml:space="preserve">Grading Economics &amp; the 3x Test</t>
  </si>
  <si>
    <t xml:space="preserve">Live. Grade a coin only if expected value added ≥ 3× all-in cost. Edit blue cells.</t>
  </si>
  <si>
    <t xml:space="preserve">A. Representative grading costs (2026)</t>
  </si>
  <si>
    <t xml:space="preserve">Service / tier</t>
  </si>
  <si>
    <t xml:space="preserve">Per-coin</t>
  </si>
  <si>
    <t xml:space="preserve">Value/speed limit</t>
  </si>
  <si>
    <t xml:space="preserve">PCGS Economy</t>
  </si>
  <si>
    <t xml:space="preserve">≤ $300; ~70 days</t>
  </si>
  <si>
    <t xml:space="preserve">+$10 handling + ship</t>
  </si>
  <si>
    <t xml:space="preserve">PCGS Regular</t>
  </si>
  <si>
    <t xml:space="preserve">≤ $2,500; ~50 days</t>
  </si>
  <si>
    <t xml:space="preserve">Most common tier</t>
  </si>
  <si>
    <t xml:space="preserve">PCGS Express</t>
  </si>
  <si>
    <t xml:space="preserve">≤ $10,000; ~15 days</t>
  </si>
  <si>
    <t xml:space="preserve">Faster</t>
  </si>
  <si>
    <t xml:space="preserve">NGC (per coin + handling)</t>
  </si>
  <si>
    <t xml:space="preserve">by value/speed</t>
  </si>
  <si>
    <t xml:space="preserve">Comparable to PCGS</t>
  </si>
  <si>
    <t xml:space="preserve">ANACS</t>
  </si>
  <si>
    <t xml:space="preserve">lower-value coins</t>
  </si>
  <si>
    <t xml:space="preserve">Budget tier</t>
  </si>
  <si>
    <t xml:space="preserve">PCGS Bulk</t>
  </si>
  <si>
    <t xml:space="preserve">≤ $300; min 100; ≤5 dates/form</t>
  </si>
  <si>
    <t xml:space="preserve">$2 reject; $75 fail fee</t>
  </si>
  <si>
    <t xml:space="preserve">Source refs: 36–42.</t>
  </si>
  <si>
    <t xml:space="preserve">B. The 3x test (edit blue inputs)</t>
  </si>
  <si>
    <t xml:space="preserve">Coin value RAW ($)</t>
  </si>
  <si>
    <t xml:space="preserve">Expected value GRADED ($)</t>
  </si>
  <si>
    <t xml:space="preserve">All-in grading cost ($)</t>
  </si>
  <si>
    <t xml:space="preserve">Value added by grading</t>
  </si>
  <si>
    <t xml:space="preserve">3× cost threshold</t>
  </si>
  <si>
    <t xml:space="preserve">Verdict</t>
  </si>
  <si>
    <t xml:space="preserve">Rule: submit only when value added ≥ 3× all-in cost. Common circulated coins and bullion fail and should stay raw. For 100+ qualifying sub-$300 coins, PCGS Bulk (~$14) changes the math. CAC stickering adds ~5–15% (green) up to ~90% (gold) on qualifying coins. Source refs: 36–43.</t>
  </si>
  <si>
    <t xml:space="preserve">Marketplace — Local (NWA) &amp; Regional</t>
  </si>
  <si>
    <t xml:space="preserve">Verify credentials (ANA / PNG) and hours before transacting. Several local listings are pawn/jewelry, not full numismatic dealers.</t>
  </si>
  <si>
    <t xml:space="preserve">Local — Northwest Arkansas</t>
  </si>
  <si>
    <t xml:space="preserve">Venue</t>
  </si>
  <si>
    <t xml:space="preserve">Type</t>
  </si>
  <si>
    <t xml:space="preserve">Location</t>
  </si>
  <si>
    <t xml:space="preserve">Focus</t>
  </si>
  <si>
    <t xml:space="preserve">Note / caution</t>
  </si>
  <si>
    <t xml:space="preserve">Northwest Arkansas Coin Club</t>
  </si>
  <si>
    <t xml:space="preserve">Club</t>
  </si>
  <si>
    <t xml:space="preserve">NWA (meetings)</t>
  </si>
  <si>
    <t xml:space="preserve">Dealer directory; community</t>
  </si>
  <si>
    <t xml:space="preserve">Best entry point; networking + shows</t>
  </si>
  <si>
    <t xml:space="preserve">Bentonville Gold Silver &amp; Coins</t>
  </si>
  <si>
    <t xml:space="preserve">Dealer</t>
  </si>
  <si>
    <t xml:space="preserve">Bentonville, AR</t>
  </si>
  <si>
    <t xml:space="preserve">Coins + bullion</t>
  </si>
  <si>
    <t xml:space="preserve">Storefront dealer</t>
  </si>
  <si>
    <t xml:space="preserve">AE NWA</t>
  </si>
  <si>
    <t xml:space="preserve">Fayetteville, AR</t>
  </si>
  <si>
    <t xml:space="preserve">Coins / bullion</t>
  </si>
  <si>
    <t xml:space="preserve">Verify numismatic depth</t>
  </si>
  <si>
    <t xml:space="preserve">C&amp;S Coins</t>
  </si>
  <si>
    <t xml:space="preserve">Springdale, AR</t>
  </si>
  <si>
    <t xml:space="preserve">Coins</t>
  </si>
  <si>
    <t xml:space="preserve">Local buy/sell</t>
  </si>
  <si>
    <t xml:space="preserve">Rose Antique Mall (coin dealer)</t>
  </si>
  <si>
    <t xml:space="preserve">Dealer-in-mall</t>
  </si>
  <si>
    <t xml:space="preserve">Rogers, AR</t>
  </si>
  <si>
    <t xml:space="preserve">Dealer booth within antique mall</t>
  </si>
  <si>
    <t xml:space="preserve">Coin &amp; Currency NWA</t>
  </si>
  <si>
    <t xml:space="preserve">NWA</t>
  </si>
  <si>
    <t xml:space="preserve">Coins + currency</t>
  </si>
  <si>
    <t xml:space="preserve">Regional storefront</t>
  </si>
  <si>
    <t xml:space="preserve">Regional — neighboring states (within driving distance)</t>
  </si>
  <si>
    <t xml:space="preserve">Heritage Auctions (HQ)</t>
  </si>
  <si>
    <t xml:space="preserve">Auction house</t>
  </si>
  <si>
    <t xml:space="preserve">Dallas, TX</t>
  </si>
  <si>
    <t xml:space="preserve">World's largest coin auctioneer</t>
  </si>
  <si>
    <t xml:space="preserve">Single most important venue; a day's drive</t>
  </si>
  <si>
    <t xml:space="preserve">Tulsa / OKC dealers &amp; shows</t>
  </si>
  <si>
    <t xml:space="preserve">Dealers/shows</t>
  </si>
  <si>
    <t xml:space="preserve">Oklahoma</t>
  </si>
  <si>
    <t xml:space="preserve">Full-service</t>
  </si>
  <si>
    <t xml:space="preserve">Rotating regional shows</t>
  </si>
  <si>
    <t xml:space="preserve">Mid-America Coins</t>
  </si>
  <si>
    <t xml:space="preserve">Grove, OK</t>
  </si>
  <si>
    <t xml:space="preserve">NE Oklahoma</t>
  </si>
  <si>
    <t xml:space="preserve">Joplin-area dealers</t>
  </si>
  <si>
    <t xml:space="preserve">Dealers</t>
  </si>
  <si>
    <t xml:space="preserve">Joplin, MO</t>
  </si>
  <si>
    <t xml:space="preserve">Short drive north</t>
  </si>
  <si>
    <t xml:space="preserve">Little Rock dealers</t>
  </si>
  <si>
    <t xml:space="preserve">Little Rock, AR</t>
  </si>
  <si>
    <t xml:space="preserve">In-state regional hub</t>
  </si>
  <si>
    <t xml:space="preserve">DBKJ / Fort Smith dealers</t>
  </si>
  <si>
    <t xml:space="preserve">Fort Smith, AR</t>
  </si>
  <si>
    <t xml:space="preserve">Western Arkansas</t>
  </si>
  <si>
    <t xml:space="preserve">Arkansas tax edge: no state sales tax on coins/bullion (SB336, since 10/1/2021) and no state capital-gains tax on bullion (HB1718, 2023). Sound Money Index #5. Source refs: 84–88, 101–103.</t>
  </si>
  <si>
    <t xml:space="preserve">Marketplace — National &amp; Online</t>
  </si>
  <si>
    <t xml:space="preserve">Bullion houses, auction houses (with fees), retail dealers, and price-discovery references.</t>
  </si>
  <si>
    <t xml:space="preserve">Bullion dealers (high volume, low premium)</t>
  </si>
  <si>
    <t xml:space="preserve">Category</t>
  </si>
  <si>
    <t xml:space="preserve">Best for</t>
  </si>
  <si>
    <t xml:space="preserve">Fees / premium</t>
  </si>
  <si>
    <t xml:space="preserve">APMEX</t>
  </si>
  <si>
    <t xml:space="preserve">Bullion</t>
  </si>
  <si>
    <t xml:space="preserve">Broad inventory</t>
  </si>
  <si>
    <t xml:space="preserve">Premium over spot</t>
  </si>
  <si>
    <t xml:space="preserve">Largest online bullion dealer</t>
  </si>
  <si>
    <t xml:space="preserve">JM Bullion</t>
  </si>
  <si>
    <t xml:space="preserve">Competitive pricing</t>
  </si>
  <si>
    <t xml:space="preserve">Low-premium staple</t>
  </si>
  <si>
    <t xml:space="preserve">SD Bullion</t>
  </si>
  <si>
    <t xml:space="preserve">Low premiums</t>
  </si>
  <si>
    <t xml:space="preserve">Aggressive pricing</t>
  </si>
  <si>
    <t xml:space="preserve">Provident Metals</t>
  </si>
  <si>
    <t xml:space="preserve">Established dealer</t>
  </si>
  <si>
    <t xml:space="preserve">Auction houses</t>
  </si>
  <si>
    <t xml:space="preserve">Fees</t>
  </si>
  <si>
    <t xml:space="preserve">Heritage Auctions</t>
  </si>
  <si>
    <t xml:space="preserve">Auction</t>
  </si>
  <si>
    <t xml:space="preserve">Everything; rarities</t>
  </si>
  <si>
    <t xml:space="preserve">22% buyer (US coins, 1/1/26)</t>
  </si>
  <si>
    <t xml:space="preserve">Largest; &gt;$1B numismatics/yr</t>
  </si>
  <si>
    <t xml:space="preserve">Stack's Bowers</t>
  </si>
  <si>
    <t xml:space="preserve">Prestige rarities</t>
  </si>
  <si>
    <t xml:space="preserve">~20% buyer</t>
  </si>
  <si>
    <t xml:space="preserve">Many record sales</t>
  </si>
  <si>
    <t xml:space="preserve">GreatCollections</t>
  </si>
  <si>
    <t xml:space="preserve">Certified coins</t>
  </si>
  <si>
    <t xml:space="preserve">~10% buyer / 0 seller</t>
  </si>
  <si>
    <t xml:space="preserve">No seller's commission</t>
  </si>
  <si>
    <t xml:space="preserve">David Lawrence Rare Coins</t>
  </si>
  <si>
    <t xml:space="preserve">Dealer/auction</t>
  </si>
  <si>
    <t xml:space="preserve">Registry collectors</t>
  </si>
  <si>
    <t xml:space="preserve">Varies</t>
  </si>
  <si>
    <t xml:space="preserve">Strong service reputation</t>
  </si>
  <si>
    <t xml:space="preserve">Legend Rare Coin Auctions</t>
  </si>
  <si>
    <t xml:space="preserve">High-end</t>
  </si>
  <si>
    <t xml:space="preserve">Buyer premium</t>
  </si>
  <si>
    <t xml:space="preserve">Top-tier consignments</t>
  </si>
  <si>
    <t xml:space="preserve">Retail dealers &amp; price-discovery references</t>
  </si>
  <si>
    <t xml:space="preserve">Use for</t>
  </si>
  <si>
    <t xml:space="preserve">Littleton Coin</t>
  </si>
  <si>
    <t xml:space="preserve">Retail</t>
  </si>
  <si>
    <t xml:space="preserve">Beginner-friendly</t>
  </si>
  <si>
    <t xml:space="preserve">Higher premiums</t>
  </si>
  <si>
    <t xml:space="preserve">Convenience over price</t>
  </si>
  <si>
    <t xml:space="preserve">GovMint</t>
  </si>
  <si>
    <t xml:space="preserve">—</t>
  </si>
  <si>
    <t xml:space="preserve">High premiums</t>
  </si>
  <si>
    <t xml:space="preserve">CAUTION: premium-priced</t>
  </si>
  <si>
    <t xml:space="preserve">PCGS CoinFacts</t>
  </si>
  <si>
    <t xml:space="preserve">Reference</t>
  </si>
  <si>
    <t xml:space="preserve">Price guide + records</t>
  </si>
  <si>
    <t xml:space="preserve">Free/sub</t>
  </si>
  <si>
    <t xml:space="preserve">Standard public reference</t>
  </si>
  <si>
    <t xml:space="preserve">NGC Price Guide / Census</t>
  </si>
  <si>
    <t xml:space="preserve">Values + population</t>
  </si>
  <si>
    <t xml:space="preserve">Free</t>
  </si>
  <si>
    <t xml:space="preserve">Population data</t>
  </si>
  <si>
    <t xml:space="preserve">Greysheet (CDN)</t>
  </si>
  <si>
    <t xml:space="preserve">Wholesale bid/ask</t>
  </si>
  <si>
    <t xml:space="preserve">Subscription</t>
  </si>
  <si>
    <t xml:space="preserve">Dealer-level pricing</t>
  </si>
  <si>
    <t xml:space="preserve">eBay (sold listings)</t>
  </si>
  <si>
    <t xml:space="preserve">Reference/market</t>
  </si>
  <si>
    <t xml:space="preserve">Real transaction prices</t>
  </si>
  <si>
    <t xml:space="preserve">Require cert numbers; use sold filter</t>
  </si>
  <si>
    <t xml:space="preserve">See 'Auction Fee Calculator' to model the all-in cost of any hammer price. Source refs: 89–97, 107–108.</t>
  </si>
  <si>
    <t xml:space="preserve">Marketplace — International</t>
  </si>
  <si>
    <t xml:space="preserve">Foreign mints and sources by country. Price in import duties, currency risk, and shipping before buying abroad.</t>
  </si>
  <si>
    <t xml:space="preserve">Source</t>
  </si>
  <si>
    <t xml:space="preserve">Country</t>
  </si>
  <si>
    <t xml:space="preserve">Issues / focus</t>
  </si>
  <si>
    <t xml:space="preserve">Channel</t>
  </si>
  <si>
    <t xml:space="preserve">Banco de México / Casa de Moneda</t>
  </si>
  <si>
    <t xml:space="preserve">Mexico</t>
  </si>
  <si>
    <t xml:space="preserve">Silver &amp; Gold Libertad</t>
  </si>
  <si>
    <t xml:space="preserve">Mint / authorized dealers</t>
  </si>
  <si>
    <t xml:space="preserve">Low-mintage keys carry real premiums</t>
  </si>
  <si>
    <t xml:space="preserve">Royal Canadian Mint</t>
  </si>
  <si>
    <t xml:space="preserve">Canada</t>
  </si>
  <si>
    <t xml:space="preserve">Maple Leaf; commemoratives</t>
  </si>
  <si>
    <t xml:space="preserve">Mint / dealers</t>
  </si>
  <si>
    <t xml:space="preserve">High-purity bullion</t>
  </si>
  <si>
    <t xml:space="preserve">The Royal Mint</t>
  </si>
  <si>
    <t xml:space="preserve">United Kingdom</t>
  </si>
  <si>
    <t xml:space="preserve">Britannia; Sovereign; Queen's Beasts</t>
  </si>
  <si>
    <t xml:space="preserve">VAT rules differ; Sovereigns CGT-free for UK persons</t>
  </si>
  <si>
    <t xml:space="preserve">Perth Mint</t>
  </si>
  <si>
    <t xml:space="preserve">Australia</t>
  </si>
  <si>
    <t xml:space="preserve">Kangaroo; Koala; Lunar series</t>
  </si>
  <si>
    <t xml:space="preserve">Popular world bullion</t>
  </si>
  <si>
    <t xml:space="preserve">European dealers / auction houses</t>
  </si>
  <si>
    <t xml:space="preserve">Europe</t>
  </si>
  <si>
    <t xml:space="preserve">World &amp; ancient coinage</t>
  </si>
  <si>
    <t xml:space="preserve">Auction / dealer</t>
  </si>
  <si>
    <t xml:space="preserve">Best source for European material</t>
  </si>
  <si>
    <t xml:space="preserve">Asian dealers (HK/Singapore)</t>
  </si>
  <si>
    <t xml:space="preserve">Asia</t>
  </si>
  <si>
    <t xml:space="preserve">World &amp; bullion</t>
  </si>
  <si>
    <t xml:space="preserve">Dealer / auction</t>
  </si>
  <si>
    <t xml:space="preserve">Mind authentication and import rules</t>
  </si>
  <si>
    <t xml:space="preserve">Cross-border friction: U.S. import duties, currency conversion spreads, international shipping and insurance, and a higher counterfeit exposure on raw coins all erode value. For world bullion, domestic U.S. dealers (APMEX et al.) often land cheaper after friction. Source refs: 79–80, 88, 106.</t>
  </si>
  <si>
    <t xml:space="preserve">Auction Fee Calculator — Live</t>
  </si>
  <si>
    <t xml:space="preserve">Edit the blue hammer price. See total buyer cost, net seller proceeds, and the round-trip spread by venue.</t>
  </si>
  <si>
    <t xml:space="preserve">Hammer price ($)</t>
  </si>
  <si>
    <t xml:space="preserve">Buyer's side — total cost = hammer × (1 + buyer premium)</t>
  </si>
  <si>
    <t xml:space="preserve">Total buyer cost</t>
  </si>
  <si>
    <t xml:space="preserve">Heritage (US coins)</t>
  </si>
  <si>
    <t xml:space="preserve">1/1/2026 rate; +~3% some card/online</t>
  </si>
  <si>
    <t xml:space="preserve">Typical major-house premium</t>
  </si>
  <si>
    <t xml:space="preserve">Electronic check / wire</t>
  </si>
  <si>
    <t xml:space="preserve">eBay (as buyer)</t>
  </si>
  <si>
    <t xml:space="preserve">No premium; price is all-in</t>
  </si>
  <si>
    <t xml:space="preserve">Seller's side — net = hammer × (1 − seller commission)</t>
  </si>
  <si>
    <t xml:space="preserve">Seller commission</t>
  </si>
  <si>
    <t xml:space="preserve">Net to seller</t>
  </si>
  <si>
    <t xml:space="preserve">Heritage</t>
  </si>
  <si>
    <t xml:space="preserve">Negotiable; lower on large consignments</t>
  </si>
  <si>
    <t xml:space="preserve">Negotiable</t>
  </si>
  <si>
    <t xml:space="preserve">Zero seller's commission</t>
  </si>
  <si>
    <t xml:space="preserve">eBay (as seller)</t>
  </si>
  <si>
    <t xml:space="preserve">Final-value fees + shipping/chargeback risk</t>
  </si>
  <si>
    <t xml:space="preserve">Round-trip spread example (buy and later sell the SAME coin at the same hammer)</t>
  </si>
  <si>
    <t xml:space="preserve">If bought at Heritage (22% BP) and sold via Heritage (10% comm.):</t>
  </si>
  <si>
    <t xml:space="preserve">Buyer pays</t>
  </si>
  <si>
    <t xml:space="preserve">Seller nets</t>
  </si>
  <si>
    <t xml:space="preserve">Round-trip friction (cost as % of hammer)</t>
  </si>
  <si>
    <t xml:space="preserve">At a $10,000 hammer the same coin costs a buyer ~$12,200 and nets a seller ~$9,000 — ~32% friction round-trip before any price change. This is why coins must be held for years and bought below comps. GreatCollections' 0% seller fee materially narrows the spread. Source refs: 89–97.</t>
  </si>
  <si>
    <t xml:space="preserve">Numbered to match the companion research paper. Online sources accessed June 2026.</t>
  </si>
  <si>
    <t xml:space="preserve">U.S. Mint, press release on final circulating one-cent strike, Nov 12, 2025.</t>
  </si>
  <si>
    <t xml:space="preserve">U.S. Treasury, Penny FAQs / Media Kit, 2025.</t>
  </si>
  <si>
    <t xml:space="preserve">31 U.S.C. §§ 5111(a), 5112 — coin denominations and Treasury powers.</t>
  </si>
  <si>
    <t xml:space="preserve">U.S. Mint FY2024 Annual Report (cost of producing the cent).</t>
  </si>
  <si>
    <t xml:space="preserve">Raymond E. Lombra, 'The Investment Performance of Rare U.S. Coins,' commissioned by Blanchard, 2017.</t>
  </si>
  <si>
    <t xml:space="preserve">Dimson &amp; Spaenjers, 'The Investment Performance of Art and Other Collectibles,' 2014.</t>
  </si>
  <si>
    <t xml:space="preserve">Dimson et al., research on emotional assets / emotional yield, 2026.</t>
  </si>
  <si>
    <t xml:space="preserve">Journal of Cultural Economics, hedonic analysis of rare-coin prices, 2025.</t>
  </si>
  <si>
    <t xml:space="preserve">PCGS, 'The PCGS3000 Rare Coin Index' (base $1,000, Jan 1 1970).</t>
  </si>
  <si>
    <t xml:space="preserve">Market analysis of PCGS3000 and Key Dates Index annualized returns, 2000–2025.</t>
  </si>
  <si>
    <t xml:space="preserve">PCGS Key Dates and Rarities Index.</t>
  </si>
  <si>
    <t xml:space="preserve">PCGS, Grading Standards and the Sheldon Scale.</t>
  </si>
  <si>
    <t xml:space="preserve">NGC, Coin Grading Scale.</t>
  </si>
  <si>
    <t xml:space="preserve">CAC and CAC Grading (CACG launched Oct 2023).</t>
  </si>
  <si>
    <t xml:space="preserve">PCGS, Services and Fees, 2026 schedule.</t>
  </si>
  <si>
    <t xml:space="preserve">NGC, Services and Fees, 2026 schedule.</t>
  </si>
  <si>
    <t xml:space="preserve">PCGS, Bulk Submissions program terms.</t>
  </si>
  <si>
    <t xml:space="preserve">ANACS services and fee schedule.</t>
  </si>
  <si>
    <t xml:space="preserve">Blanchard, CAC green/gold sticker premium examples.</t>
  </si>
  <si>
    <t xml:space="preserve">PCGS CoinFacts, 1909-S VDB Lincoln Cent.</t>
  </si>
  <si>
    <t xml:space="preserve">PCGS CoinFacts, 1914-D Lincoln Cent.</t>
  </si>
  <si>
    <t xml:space="preserve">Legend / Heritage, 1943-D bronze cent ($1.7M, 2010).</t>
  </si>
  <si>
    <t xml:space="preserve">Heritage, 1944 steel cent, Philadelphia ($180,000, 2021).</t>
  </si>
  <si>
    <t xml:space="preserve">GreatCollections, 1944-S steel cent MS66 (≈$490,500, 2025).</t>
  </si>
  <si>
    <t xml:space="preserve">Stack's Bowers, 1955 Doubled Die Obverse cent MS65+ ($114,000, 2018).</t>
  </si>
  <si>
    <t xml:space="preserve">PCGS CoinFacts / Heritage, 1913 Liberty Head Nickel ($4.2M, 2022).</t>
  </si>
  <si>
    <t xml:space="preserve">Legend, 1937-D Three-Legged Buffalo Nickel MS66+ (≈$99,875, 2021).</t>
  </si>
  <si>
    <t xml:space="preserve">Heritage, 1913-S Type 2 Buffalo Nickel MS67+ ($84,000, 2025).</t>
  </si>
  <si>
    <t xml:space="preserve">Curio Comp, 1916-D Mercury Dime value guide, 2026.</t>
  </si>
  <si>
    <t xml:space="preserve">PCGS CoinFacts, 1916 SLQ and 1918/7-S overdate (Heritage $336,000).</t>
  </si>
  <si>
    <t xml:space="preserve">PCGS CoinFacts, Morgan Dollar category.</t>
  </si>
  <si>
    <t xml:space="preserve">PCGS, 1889-CC Morgan Dollar (mintage 350,000).</t>
  </si>
  <si>
    <t xml:space="preserve">PCGS / Heritage, 1893-S Morgan Dollar (finest ≈$2M).</t>
  </si>
  <si>
    <t xml:space="preserve">Southgate Coins, GSA Carson City Morgan hoard history.</t>
  </si>
  <si>
    <t xml:space="preserve">PCGS, the 1933 Saint-Gaudens Double Eagle.</t>
  </si>
  <si>
    <t xml:space="preserve">Sotheby's, 1933 Double Eagle $18,872,250, Jun 8 2021.</t>
  </si>
  <si>
    <t xml:space="preserve">Gainesville Coins, key-date Silver Eagles.</t>
  </si>
  <si>
    <t xml:space="preserve">Banco de México / Mexican Mint, Silver Libertad mintages.</t>
  </si>
  <si>
    <t xml:space="preserve">APMEX / Provident, Libertad mintage and premium data.</t>
  </si>
  <si>
    <t xml:space="preserve">FindBullionPrices, silver coin melt calculator (6/19/2026).</t>
  </si>
  <si>
    <t xml:space="preserve">USA Coin Book, daily spot prices (6/19/2026).</t>
  </si>
  <si>
    <t xml:space="preserve">ANA, Online Coin Dealer Directory — Arkansas.</t>
  </si>
  <si>
    <t xml:space="preserve">Northwest Arkansas Coin Club.</t>
  </si>
  <si>
    <t xml:space="preserve">Professional Numismatists Guild dealer directory and ethics code.</t>
  </si>
  <si>
    <t xml:space="preserve">Heritage Auctions, 2026 buyer's premium schedule (22% US coins).</t>
  </si>
  <si>
    <t xml:space="preserve">GreatCollections fee structure (0 seller / ~10% buyer).</t>
  </si>
  <si>
    <t xml:space="preserve">Stack's Bowers auction terms.</t>
  </si>
  <si>
    <t xml:space="preserve">Greysheet / CDN wholesale bid/ask pricing.</t>
  </si>
  <si>
    <t xml:space="preserve">eBay completed/sold-listing methodology.</t>
  </si>
  <si>
    <t xml:space="preserve">R.S. Yeoman / Jeff Garrett, A Guide Book of United States Coins 2026 (Red Book), 79th ed.</t>
  </si>
  <si>
    <t xml:space="preserve">Arkansas SB336 — sales/use-tax exemption for coins &amp; bullion (Ark. Code § 26-52-454).</t>
  </si>
  <si>
    <t xml:space="preserve">Arkansas HB1718 (2023) — no state capital-gains tax on bullion.</t>
  </si>
  <si>
    <t xml:space="preserve">Sound Money Defense League, Sound Money Index (AR #5).</t>
  </si>
  <si>
    <t xml:space="preserve">IRS Topic No. 409 — 28% maximum collectibles rate.</t>
  </si>
  <si>
    <t xml:space="preserve">PCGS Counterfeit Detection resources.</t>
  </si>
  <si>
    <t xml:space="preserve">U.S. Mint, cent composition history (95% Cu pre-1982; 1943 steel / 1943 bronze / 1944 steel).</t>
  </si>
  <si>
    <t xml:space="preserve">Full citations with URLs appear in the companion research paper's References section (110 sources). Patience pays. 🦞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</si>
</sst>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0.0%"/>
    <numFmt numFmtId="167" formatCode="0.0"/>
    <numFmt numFmtId="168" formatCode="0.00%"/>
    <numFmt numFmtId="169" formatCode="\$#,##0"/>
    <numFmt numFmtId="170" formatCode="0"/>
    <numFmt numFmtId="171" formatCode="\$#,##0;&quot;($&quot;#,##0\)"/>
    <numFmt numFmtId="172" formatCode="0.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777777"/>
      <name val="Arial"/>
      <family val="0"/>
      <charset val="1"/>
    </font>
    <font>
      <b val="true"/>
      <sz val="9"/>
      <color rgb="FF1E7A34"/>
      <name val="Arial"/>
      <family val="0"/>
      <charset val="1"/>
    </font>
    <font>
      <b val="true"/>
      <sz val="9"/>
      <color rgb="FFB00000"/>
      <name val="Arial"/>
      <family val="0"/>
      <charset val="1"/>
    </font>
    <font>
      <sz val="9"/>
      <color rgb="FFB8860B"/>
      <name val="Arial"/>
      <family val="0"/>
      <charset val="1"/>
    </font>
    <font>
      <sz val="9"/>
      <color rgb="FF1E7A34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EEF2F8"/>
        <bgColor rgb="FFFFFF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1E7A34"/>
      <rgbColor rgb="FF000080"/>
      <rgbColor rgb="FFB8860B"/>
      <rgbColor rgb="FF800080"/>
      <rgbColor rgb="FF008080"/>
      <rgbColor rgb="FFB0B0B0"/>
      <rgbColor rgb="FF777777"/>
      <rgbColor rgb="FF9999FF"/>
      <rgbColor rgb="FF993366"/>
      <rgbColor rgb="FFEEF2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6" min="4" style="0" width="1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42" hidden="false" customHeight="true" outlineLevel="0" collapsed="false">
      <c r="B5" s="4" t="s">
        <v>3</v>
      </c>
      <c r="C5" s="4"/>
      <c r="D5" s="4"/>
      <c r="E5" s="4"/>
      <c r="F5" s="4"/>
    </row>
    <row r="6" customFormat="false" ht="42" hidden="false" customHeight="true" outlineLevel="0" collapsed="false">
      <c r="B6" s="4" t="s">
        <v>4</v>
      </c>
      <c r="C6" s="4"/>
      <c r="D6" s="4"/>
      <c r="E6" s="4"/>
      <c r="F6" s="4"/>
    </row>
    <row r="7" customFormat="false" ht="42" hidden="false" customHeight="true" outlineLevel="0" collapsed="false">
      <c r="B7" s="4" t="s">
        <v>5</v>
      </c>
      <c r="C7" s="4"/>
      <c r="D7" s="4"/>
      <c r="E7" s="4"/>
      <c r="F7" s="4"/>
    </row>
    <row r="9" customFormat="false" ht="19.5" hidden="false" customHeight="true" outlineLevel="0" collapsed="false">
      <c r="A9" s="3" t="s">
        <v>6</v>
      </c>
      <c r="B9" s="3"/>
      <c r="C9" s="3"/>
      <c r="D9" s="3"/>
      <c r="E9" s="3"/>
      <c r="F9" s="3"/>
    </row>
    <row r="10" customFormat="false" ht="30" hidden="false" customHeight="true" outlineLevel="0" collapsed="false">
      <c r="A10" s="5" t="s">
        <v>7</v>
      </c>
      <c r="B10" s="5" t="s">
        <v>8</v>
      </c>
      <c r="C10" s="5" t="s">
        <v>9</v>
      </c>
      <c r="D10" s="5"/>
      <c r="E10" s="5"/>
      <c r="F10" s="5"/>
    </row>
    <row r="11" customFormat="false" ht="15" hidden="false" customHeight="true" outlineLevel="0" collapsed="false">
      <c r="A11" s="6" t="s">
        <v>10</v>
      </c>
      <c r="B11" s="7" t="s">
        <v>11</v>
      </c>
      <c r="C11" s="8" t="s">
        <v>12</v>
      </c>
      <c r="D11" s="8"/>
      <c r="E11" s="8"/>
      <c r="F11" s="8"/>
    </row>
    <row r="12" customFormat="false" ht="15" hidden="false" customHeight="true" outlineLevel="0" collapsed="false">
      <c r="A12" s="9" t="s">
        <v>13</v>
      </c>
      <c r="B12" s="10" t="s">
        <v>14</v>
      </c>
      <c r="C12" s="11" t="s">
        <v>15</v>
      </c>
      <c r="D12" s="11"/>
      <c r="E12" s="11"/>
      <c r="F12" s="11"/>
    </row>
    <row r="13" customFormat="false" ht="15" hidden="false" customHeight="true" outlineLevel="0" collapsed="false">
      <c r="A13" s="6" t="s">
        <v>16</v>
      </c>
      <c r="B13" s="7" t="s">
        <v>17</v>
      </c>
      <c r="C13" s="8" t="s">
        <v>18</v>
      </c>
      <c r="D13" s="8"/>
      <c r="E13" s="8"/>
      <c r="F13" s="8"/>
    </row>
    <row r="14" customFormat="false" ht="15" hidden="false" customHeight="true" outlineLevel="0" collapsed="false">
      <c r="A14" s="9" t="s">
        <v>19</v>
      </c>
      <c r="B14" s="10" t="s">
        <v>20</v>
      </c>
      <c r="C14" s="11" t="s">
        <v>21</v>
      </c>
      <c r="D14" s="11"/>
      <c r="E14" s="11"/>
      <c r="F14" s="11"/>
    </row>
    <row r="15" customFormat="false" ht="15" hidden="false" customHeight="true" outlineLevel="0" collapsed="false">
      <c r="A15" s="6" t="s">
        <v>22</v>
      </c>
      <c r="B15" s="7" t="s">
        <v>23</v>
      </c>
      <c r="C15" s="8" t="s">
        <v>24</v>
      </c>
      <c r="D15" s="8"/>
      <c r="E15" s="8"/>
      <c r="F15" s="8"/>
    </row>
    <row r="16" customFormat="false" ht="15" hidden="false" customHeight="true" outlineLevel="0" collapsed="false">
      <c r="A16" s="9" t="s">
        <v>25</v>
      </c>
      <c r="B16" s="10" t="s">
        <v>26</v>
      </c>
      <c r="C16" s="11" t="s">
        <v>27</v>
      </c>
      <c r="D16" s="11"/>
      <c r="E16" s="11"/>
      <c r="F16" s="11"/>
    </row>
    <row r="17" customFormat="false" ht="15" hidden="false" customHeight="true" outlineLevel="0" collapsed="false">
      <c r="A17" s="6" t="s">
        <v>28</v>
      </c>
      <c r="B17" s="7" t="s">
        <v>29</v>
      </c>
      <c r="C17" s="8" t="s">
        <v>30</v>
      </c>
      <c r="D17" s="8"/>
      <c r="E17" s="8"/>
      <c r="F17" s="8"/>
    </row>
    <row r="18" customFormat="false" ht="15" hidden="false" customHeight="true" outlineLevel="0" collapsed="false">
      <c r="A18" s="9" t="s">
        <v>31</v>
      </c>
      <c r="B18" s="10" t="s">
        <v>32</v>
      </c>
      <c r="C18" s="11" t="s">
        <v>33</v>
      </c>
      <c r="D18" s="11"/>
      <c r="E18" s="11"/>
      <c r="F18" s="11"/>
    </row>
    <row r="19" customFormat="false" ht="15" hidden="false" customHeight="true" outlineLevel="0" collapsed="false">
      <c r="A19" s="6" t="s">
        <v>34</v>
      </c>
      <c r="B19" s="7" t="s">
        <v>35</v>
      </c>
      <c r="C19" s="8" t="s">
        <v>36</v>
      </c>
      <c r="D19" s="8"/>
      <c r="E19" s="8"/>
      <c r="F19" s="8"/>
    </row>
    <row r="20" customFormat="false" ht="15" hidden="false" customHeight="true" outlineLevel="0" collapsed="false">
      <c r="A20" s="9" t="s">
        <v>37</v>
      </c>
      <c r="B20" s="10" t="s">
        <v>38</v>
      </c>
      <c r="C20" s="11" t="s">
        <v>39</v>
      </c>
      <c r="D20" s="11"/>
      <c r="E20" s="11"/>
      <c r="F20" s="11"/>
    </row>
    <row r="21" customFormat="false" ht="15" hidden="false" customHeight="true" outlineLevel="0" collapsed="false">
      <c r="A21" s="6" t="s">
        <v>40</v>
      </c>
      <c r="B21" s="7" t="s">
        <v>41</v>
      </c>
      <c r="C21" s="8" t="s">
        <v>42</v>
      </c>
      <c r="D21" s="8"/>
      <c r="E21" s="8"/>
      <c r="F21" s="8"/>
    </row>
    <row r="22" customFormat="false" ht="15" hidden="false" customHeight="true" outlineLevel="0" collapsed="false">
      <c r="A22" s="9" t="s">
        <v>43</v>
      </c>
      <c r="B22" s="10" t="s">
        <v>44</v>
      </c>
      <c r="C22" s="11" t="s">
        <v>45</v>
      </c>
      <c r="D22" s="11"/>
      <c r="E22" s="11"/>
      <c r="F22" s="11"/>
    </row>
    <row r="24" customFormat="false" ht="19.5" hidden="false" customHeight="true" outlineLevel="0" collapsed="false">
      <c r="A24" s="3" t="s">
        <v>46</v>
      </c>
      <c r="B24" s="3"/>
      <c r="C24" s="3"/>
      <c r="D24" s="3"/>
      <c r="E24" s="3"/>
      <c r="F24" s="3"/>
    </row>
    <row r="25" customFormat="false" ht="30" hidden="false" customHeight="true" outlineLevel="0" collapsed="false">
      <c r="A25" s="5"/>
      <c r="B25" s="5" t="s">
        <v>47</v>
      </c>
      <c r="C25" s="5" t="s">
        <v>48</v>
      </c>
      <c r="D25" s="5"/>
      <c r="E25" s="5"/>
      <c r="F25" s="5"/>
    </row>
    <row r="26" customFormat="false" ht="15" hidden="false" customHeight="false" outlineLevel="0" collapsed="false">
      <c r="A26" s="9"/>
      <c r="B26" s="10" t="s">
        <v>49</v>
      </c>
      <c r="C26" s="12" t="n">
        <v>4218.56</v>
      </c>
    </row>
    <row r="27" customFormat="false" ht="15" hidden="false" customHeight="false" outlineLevel="0" collapsed="false">
      <c r="A27" s="6"/>
      <c r="B27" s="7" t="s">
        <v>50</v>
      </c>
      <c r="C27" s="13" t="n">
        <v>68.04</v>
      </c>
    </row>
    <row r="28" customFormat="false" ht="15" hidden="false" customHeight="false" outlineLevel="0" collapsed="false">
      <c r="A28" s="9"/>
      <c r="B28" s="10" t="s">
        <v>51</v>
      </c>
      <c r="C28" s="12" t="n">
        <v>1717.67</v>
      </c>
    </row>
    <row r="29" customFormat="false" ht="25.5" hidden="false" customHeight="true" outlineLevel="0" collapsed="false">
      <c r="B29" s="14" t="s">
        <v>52</v>
      </c>
      <c r="C29" s="14"/>
      <c r="D29" s="14"/>
      <c r="E29" s="14"/>
      <c r="F29" s="14"/>
    </row>
    <row r="31" customFormat="false" ht="19.5" hidden="false" customHeight="true" outlineLevel="0" collapsed="false">
      <c r="A31" s="3" t="s">
        <v>53</v>
      </c>
      <c r="B31" s="3"/>
      <c r="C31" s="3"/>
      <c r="D31" s="3"/>
      <c r="E31" s="3"/>
      <c r="F31" s="3"/>
    </row>
    <row r="32" customFormat="false" ht="30" hidden="false" customHeight="true" outlineLevel="0" collapsed="false">
      <c r="B32" s="4" t="s">
        <v>54</v>
      </c>
      <c r="C32" s="4"/>
      <c r="D32" s="4"/>
      <c r="E32" s="4"/>
      <c r="F32" s="4"/>
    </row>
    <row r="33" customFormat="false" ht="15" hidden="false" customHeight="false" outlineLevel="0" collapsed="false">
      <c r="B33" s="4"/>
      <c r="C33" s="4"/>
      <c r="D33" s="4"/>
      <c r="E33" s="4"/>
      <c r="F33" s="4"/>
    </row>
  </sheetData>
  <mergeCells count="23">
    <mergeCell ref="A1:F1"/>
    <mergeCell ref="A2:F2"/>
    <mergeCell ref="A4:F4"/>
    <mergeCell ref="B5:F5"/>
    <mergeCell ref="B6:F6"/>
    <mergeCell ref="B7:F7"/>
    <mergeCell ref="A9:F9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A24:F24"/>
    <mergeCell ref="B29:F29"/>
    <mergeCell ref="A31:F31"/>
    <mergeCell ref="B32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22"/>
  </cols>
  <sheetData>
    <row r="1" customFormat="false" ht="24" hidden="false" customHeight="true" outlineLevel="0" collapsed="false">
      <c r="A1" s="1" t="s">
        <v>55</v>
      </c>
      <c r="B1" s="1"/>
      <c r="C1" s="1"/>
      <c r="D1" s="1"/>
      <c r="E1" s="1"/>
    </row>
    <row r="2" customFormat="false" ht="13.5" hidden="false" customHeight="true" outlineLevel="0" collapsed="false">
      <c r="A2" s="2" t="s">
        <v>56</v>
      </c>
      <c r="B2" s="2"/>
      <c r="C2" s="2"/>
      <c r="D2" s="2"/>
      <c r="E2" s="2"/>
    </row>
    <row r="4" customFormat="false" ht="30" hidden="false" customHeight="true" outlineLevel="0" collapsed="false">
      <c r="A4" s="5" t="s">
        <v>57</v>
      </c>
      <c r="B4" s="5" t="s">
        <v>58</v>
      </c>
      <c r="C4" s="5" t="s">
        <v>59</v>
      </c>
      <c r="D4" s="5" t="s">
        <v>60</v>
      </c>
      <c r="E4" s="5" t="s">
        <v>61</v>
      </c>
    </row>
    <row r="5" customFormat="false" ht="91.5" hidden="false" customHeight="true" outlineLevel="0" collapsed="false">
      <c r="A5" s="7" t="s">
        <v>62</v>
      </c>
      <c r="B5" s="6" t="s">
        <v>63</v>
      </c>
      <c r="C5" s="6" t="s">
        <v>64</v>
      </c>
      <c r="D5" s="6" t="s">
        <v>65</v>
      </c>
      <c r="E5" s="6" t="s">
        <v>66</v>
      </c>
    </row>
    <row r="6" customFormat="false" ht="91.5" hidden="false" customHeight="true" outlineLevel="0" collapsed="false">
      <c r="A6" s="10" t="s">
        <v>67</v>
      </c>
      <c r="B6" s="9" t="s">
        <v>68</v>
      </c>
      <c r="C6" s="9" t="s">
        <v>69</v>
      </c>
      <c r="D6" s="9" t="s">
        <v>70</v>
      </c>
      <c r="E6" s="9" t="s">
        <v>71</v>
      </c>
    </row>
    <row r="7" customFormat="false" ht="91.5" hidden="false" customHeight="true" outlineLevel="0" collapsed="false">
      <c r="A7" s="7" t="s">
        <v>72</v>
      </c>
      <c r="B7" s="6" t="s">
        <v>73</v>
      </c>
      <c r="C7" s="6" t="s">
        <v>74</v>
      </c>
      <c r="D7" s="6" t="s">
        <v>75</v>
      </c>
      <c r="E7" s="6" t="s">
        <v>76</v>
      </c>
    </row>
    <row r="8" customFormat="false" ht="91.5" hidden="false" customHeight="true" outlineLevel="0" collapsed="false">
      <c r="A8" s="10" t="s">
        <v>77</v>
      </c>
      <c r="B8" s="9" t="s">
        <v>78</v>
      </c>
      <c r="C8" s="9" t="s">
        <v>79</v>
      </c>
      <c r="D8" s="9" t="s">
        <v>80</v>
      </c>
      <c r="E8" s="9" t="s">
        <v>81</v>
      </c>
    </row>
    <row r="10" customFormat="false" ht="27.75" hidden="false" customHeight="true" outlineLevel="0" collapsed="false">
      <c r="A10" s="14" t="s">
        <v>82</v>
      </c>
      <c r="B10" s="14"/>
      <c r="C10" s="14"/>
      <c r="D10" s="14"/>
      <c r="E10" s="14"/>
    </row>
  </sheetData>
  <mergeCells count="3">
    <mergeCell ref="A1:E1"/>
    <mergeCell ref="A2:E2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5" min="4" style="0" width="17"/>
    <col collapsed="false" customWidth="true" hidden="false" outlineLevel="0" max="6" min="6" style="0" width="24"/>
    <col collapsed="false" customWidth="true" hidden="false" outlineLevel="0" max="7" min="7" style="0" width="8"/>
    <col collapsed="false" customWidth="true" hidden="false" outlineLevel="0" max="9" min="8" style="0" width="9"/>
    <col collapsed="false" customWidth="true" hidden="false" outlineLevel="0" max="10" min="10" style="0" width="8"/>
    <col collapsed="false" customWidth="true" hidden="false" outlineLevel="0" max="11" min="11" style="0" width="28"/>
  </cols>
  <sheetData>
    <row r="1" customFormat="false" ht="24" hidden="false" customHeight="true" outlineLevel="0" collapsed="false">
      <c r="A1" s="1" t="s">
        <v>83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3.5" hidden="false" customHeight="true" outlineLevel="0" collapsed="false">
      <c r="A2" s="2" t="s">
        <v>84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0" hidden="false" customHeight="true" outlineLevel="0" collapsed="false">
      <c r="A4" s="5" t="s">
        <v>85</v>
      </c>
      <c r="B4" s="5" t="s">
        <v>86</v>
      </c>
      <c r="C4" s="5" t="s">
        <v>87</v>
      </c>
      <c r="D4" s="5" t="s">
        <v>88</v>
      </c>
      <c r="E4" s="5" t="s">
        <v>89</v>
      </c>
      <c r="F4" s="5" t="s">
        <v>90</v>
      </c>
      <c r="G4" s="5" t="s">
        <v>91</v>
      </c>
      <c r="H4" s="5" t="s">
        <v>92</v>
      </c>
      <c r="I4" s="5" t="s">
        <v>93</v>
      </c>
      <c r="J4" s="5" t="s">
        <v>94</v>
      </c>
      <c r="K4" s="5" t="s">
        <v>95</v>
      </c>
    </row>
    <row r="5" customFormat="false" ht="30" hidden="false" customHeight="true" outlineLevel="0" collapsed="false">
      <c r="A5" s="6" t="s">
        <v>96</v>
      </c>
      <c r="B5" s="7" t="s">
        <v>97</v>
      </c>
      <c r="C5" s="15" t="n">
        <v>2</v>
      </c>
      <c r="D5" s="6" t="s">
        <v>98</v>
      </c>
      <c r="E5" s="6" t="s">
        <v>99</v>
      </c>
      <c r="F5" s="6" t="s">
        <v>100</v>
      </c>
      <c r="G5" s="16" t="s">
        <v>101</v>
      </c>
      <c r="H5" s="17" t="s">
        <v>102</v>
      </c>
      <c r="I5" s="18" t="s">
        <v>103</v>
      </c>
      <c r="J5" s="16" t="s">
        <v>104</v>
      </c>
      <c r="K5" s="6" t="s">
        <v>105</v>
      </c>
    </row>
    <row r="6" customFormat="false" ht="30" hidden="false" customHeight="true" outlineLevel="0" collapsed="false">
      <c r="A6" s="9" t="s">
        <v>96</v>
      </c>
      <c r="B6" s="10" t="s">
        <v>106</v>
      </c>
      <c r="C6" s="19" t="n">
        <v>3</v>
      </c>
      <c r="D6" s="9" t="s">
        <v>107</v>
      </c>
      <c r="E6" s="9" t="s">
        <v>108</v>
      </c>
      <c r="F6" s="9" t="s">
        <v>109</v>
      </c>
      <c r="G6" s="20" t="s">
        <v>101</v>
      </c>
      <c r="H6" s="21" t="s">
        <v>110</v>
      </c>
      <c r="I6" s="22" t="s">
        <v>103</v>
      </c>
      <c r="J6" s="20" t="s">
        <v>104</v>
      </c>
      <c r="K6" s="9" t="s">
        <v>111</v>
      </c>
    </row>
    <row r="7" customFormat="false" ht="30" hidden="false" customHeight="true" outlineLevel="0" collapsed="false">
      <c r="A7" s="6" t="s">
        <v>96</v>
      </c>
      <c r="B7" s="7" t="s">
        <v>112</v>
      </c>
      <c r="C7" s="15" t="n">
        <v>3</v>
      </c>
      <c r="D7" s="6" t="s">
        <v>113</v>
      </c>
      <c r="E7" s="6" t="s">
        <v>114</v>
      </c>
      <c r="F7" s="6" t="s">
        <v>115</v>
      </c>
      <c r="G7" s="16" t="s">
        <v>101</v>
      </c>
      <c r="H7" s="23" t="s">
        <v>110</v>
      </c>
      <c r="I7" s="23" t="s">
        <v>116</v>
      </c>
      <c r="J7" s="16" t="s">
        <v>104</v>
      </c>
      <c r="K7" s="6" t="s">
        <v>117</v>
      </c>
    </row>
    <row r="8" customFormat="false" ht="30" hidden="false" customHeight="true" outlineLevel="0" collapsed="false">
      <c r="A8" s="9" t="s">
        <v>96</v>
      </c>
      <c r="B8" s="10" t="s">
        <v>118</v>
      </c>
      <c r="C8" s="19" t="n">
        <v>2</v>
      </c>
      <c r="D8" s="9" t="s">
        <v>119</v>
      </c>
      <c r="E8" s="9" t="s">
        <v>120</v>
      </c>
      <c r="F8" s="9" t="s">
        <v>121</v>
      </c>
      <c r="G8" s="20" t="s">
        <v>101</v>
      </c>
      <c r="H8" s="21" t="s">
        <v>110</v>
      </c>
      <c r="I8" s="24" t="s">
        <v>122</v>
      </c>
      <c r="J8" s="20" t="s">
        <v>123</v>
      </c>
      <c r="K8" s="9" t="s">
        <v>124</v>
      </c>
    </row>
    <row r="9" customFormat="false" ht="30" hidden="false" customHeight="true" outlineLevel="0" collapsed="false">
      <c r="A9" s="6" t="s">
        <v>96</v>
      </c>
      <c r="B9" s="7" t="s">
        <v>125</v>
      </c>
      <c r="C9" s="15" t="n">
        <v>3</v>
      </c>
      <c r="D9" s="6" t="s">
        <v>126</v>
      </c>
      <c r="E9" s="6" t="s">
        <v>127</v>
      </c>
      <c r="F9" s="6" t="s">
        <v>128</v>
      </c>
      <c r="G9" s="16" t="s">
        <v>101</v>
      </c>
      <c r="H9" s="17" t="s">
        <v>102</v>
      </c>
      <c r="I9" s="18" t="s">
        <v>103</v>
      </c>
      <c r="J9" s="16" t="s">
        <v>104</v>
      </c>
      <c r="K9" s="6" t="s">
        <v>129</v>
      </c>
    </row>
    <row r="10" customFormat="false" ht="30" hidden="false" customHeight="true" outlineLevel="0" collapsed="false">
      <c r="A10" s="9" t="s">
        <v>96</v>
      </c>
      <c r="B10" s="10" t="s">
        <v>130</v>
      </c>
      <c r="C10" s="19" t="n">
        <v>4</v>
      </c>
      <c r="D10" s="9" t="s">
        <v>131</v>
      </c>
      <c r="E10" s="9" t="s">
        <v>132</v>
      </c>
      <c r="F10" s="9" t="s">
        <v>133</v>
      </c>
      <c r="G10" s="20" t="s">
        <v>101</v>
      </c>
      <c r="H10" s="25" t="s">
        <v>102</v>
      </c>
      <c r="I10" s="22" t="s">
        <v>134</v>
      </c>
      <c r="J10" s="20" t="s">
        <v>104</v>
      </c>
      <c r="K10" s="9" t="s">
        <v>135</v>
      </c>
    </row>
    <row r="11" customFormat="false" ht="30" hidden="false" customHeight="true" outlineLevel="0" collapsed="false">
      <c r="A11" s="6" t="s">
        <v>96</v>
      </c>
      <c r="B11" s="7" t="s">
        <v>136</v>
      </c>
      <c r="C11" s="15" t="n">
        <v>4</v>
      </c>
      <c r="D11" s="6" t="s">
        <v>137</v>
      </c>
      <c r="E11" s="6" t="s">
        <v>132</v>
      </c>
      <c r="F11" s="6" t="s">
        <v>138</v>
      </c>
      <c r="G11" s="16" t="s">
        <v>101</v>
      </c>
      <c r="H11" s="17" t="s">
        <v>102</v>
      </c>
      <c r="I11" s="18" t="s">
        <v>134</v>
      </c>
      <c r="J11" s="16" t="s">
        <v>104</v>
      </c>
      <c r="K11" s="6" t="s">
        <v>139</v>
      </c>
    </row>
    <row r="12" customFormat="false" ht="30" hidden="false" customHeight="true" outlineLevel="0" collapsed="false">
      <c r="A12" s="9" t="s">
        <v>96</v>
      </c>
      <c r="B12" s="10" t="s">
        <v>140</v>
      </c>
      <c r="C12" s="19" t="n">
        <v>4</v>
      </c>
      <c r="D12" s="9" t="s">
        <v>141</v>
      </c>
      <c r="E12" s="9" t="s">
        <v>142</v>
      </c>
      <c r="F12" s="9" t="s">
        <v>143</v>
      </c>
      <c r="G12" s="20" t="s">
        <v>101</v>
      </c>
      <c r="H12" s="21" t="s">
        <v>110</v>
      </c>
      <c r="I12" s="22" t="s">
        <v>134</v>
      </c>
      <c r="J12" s="20" t="s">
        <v>104</v>
      </c>
      <c r="K12" s="9" t="s">
        <v>144</v>
      </c>
    </row>
    <row r="13" customFormat="false" ht="30" hidden="false" customHeight="true" outlineLevel="0" collapsed="false">
      <c r="A13" s="6" t="s">
        <v>96</v>
      </c>
      <c r="B13" s="7" t="s">
        <v>145</v>
      </c>
      <c r="C13" s="15" t="n">
        <v>2</v>
      </c>
      <c r="D13" s="6" t="s">
        <v>146</v>
      </c>
      <c r="E13" s="6" t="s">
        <v>147</v>
      </c>
      <c r="F13" s="6" t="s">
        <v>148</v>
      </c>
      <c r="G13" s="16" t="s">
        <v>101</v>
      </c>
      <c r="H13" s="23" t="s">
        <v>110</v>
      </c>
      <c r="I13" s="23" t="s">
        <v>116</v>
      </c>
      <c r="J13" s="16" t="s">
        <v>104</v>
      </c>
      <c r="K13" s="6" t="s">
        <v>149</v>
      </c>
    </row>
    <row r="14" customFormat="false" ht="30" hidden="false" customHeight="true" outlineLevel="0" collapsed="false">
      <c r="A14" s="9" t="s">
        <v>150</v>
      </c>
      <c r="B14" s="10" t="s">
        <v>151</v>
      </c>
      <c r="C14" s="19" t="n">
        <v>3</v>
      </c>
      <c r="D14" s="9" t="s">
        <v>152</v>
      </c>
      <c r="E14" s="9" t="s">
        <v>153</v>
      </c>
      <c r="F14" s="9" t="s">
        <v>154</v>
      </c>
      <c r="G14" s="20" t="s">
        <v>101</v>
      </c>
      <c r="H14" s="21" t="s">
        <v>110</v>
      </c>
      <c r="I14" s="22" t="s">
        <v>103</v>
      </c>
      <c r="J14" s="20" t="s">
        <v>104</v>
      </c>
      <c r="K14" s="9" t="s">
        <v>155</v>
      </c>
    </row>
    <row r="15" customFormat="false" ht="30" hidden="false" customHeight="true" outlineLevel="0" collapsed="false">
      <c r="A15" s="6" t="s">
        <v>150</v>
      </c>
      <c r="B15" s="7" t="s">
        <v>156</v>
      </c>
      <c r="C15" s="15" t="n">
        <v>2</v>
      </c>
      <c r="D15" s="6" t="s">
        <v>157</v>
      </c>
      <c r="E15" s="6" t="s">
        <v>158</v>
      </c>
      <c r="F15" s="6" t="s">
        <v>159</v>
      </c>
      <c r="G15" s="16" t="s">
        <v>101</v>
      </c>
      <c r="H15" s="23" t="s">
        <v>110</v>
      </c>
      <c r="I15" s="23" t="s">
        <v>116</v>
      </c>
      <c r="J15" s="16" t="s">
        <v>104</v>
      </c>
      <c r="K15" s="6" t="s">
        <v>160</v>
      </c>
    </row>
    <row r="16" customFormat="false" ht="30" hidden="false" customHeight="true" outlineLevel="0" collapsed="false">
      <c r="A16" s="9" t="s">
        <v>161</v>
      </c>
      <c r="B16" s="10" t="s">
        <v>162</v>
      </c>
      <c r="C16" s="19" t="n">
        <v>4</v>
      </c>
      <c r="D16" s="9" t="s">
        <v>163</v>
      </c>
      <c r="E16" s="9" t="s">
        <v>164</v>
      </c>
      <c r="F16" s="9" t="s">
        <v>165</v>
      </c>
      <c r="G16" s="20" t="s">
        <v>101</v>
      </c>
      <c r="H16" s="21" t="s">
        <v>110</v>
      </c>
      <c r="I16" s="22" t="s">
        <v>103</v>
      </c>
      <c r="J16" s="20" t="s">
        <v>104</v>
      </c>
      <c r="K16" s="9" t="s">
        <v>166</v>
      </c>
    </row>
    <row r="17" customFormat="false" ht="30" hidden="false" customHeight="true" outlineLevel="0" collapsed="false">
      <c r="A17" s="6" t="s">
        <v>167</v>
      </c>
      <c r="B17" s="7" t="s">
        <v>168</v>
      </c>
      <c r="C17" s="15" t="n">
        <v>4</v>
      </c>
      <c r="D17" s="6" t="s">
        <v>169</v>
      </c>
      <c r="E17" s="6" t="s">
        <v>170</v>
      </c>
      <c r="F17" s="6" t="s">
        <v>171</v>
      </c>
      <c r="G17" s="16" t="s">
        <v>101</v>
      </c>
      <c r="H17" s="23" t="s">
        <v>110</v>
      </c>
      <c r="I17" s="18" t="s">
        <v>103</v>
      </c>
      <c r="J17" s="16" t="s">
        <v>104</v>
      </c>
      <c r="K17" s="6" t="s">
        <v>172</v>
      </c>
    </row>
    <row r="18" customFormat="false" ht="30" hidden="false" customHeight="true" outlineLevel="0" collapsed="false">
      <c r="A18" s="9" t="s">
        <v>173</v>
      </c>
      <c r="B18" s="10" t="s">
        <v>174</v>
      </c>
      <c r="C18" s="19" t="n">
        <v>2</v>
      </c>
      <c r="D18" s="9" t="s">
        <v>175</v>
      </c>
      <c r="E18" s="9" t="s">
        <v>176</v>
      </c>
      <c r="F18" s="9" t="s">
        <v>177</v>
      </c>
      <c r="G18" s="20" t="s">
        <v>101</v>
      </c>
      <c r="H18" s="21" t="s">
        <v>110</v>
      </c>
      <c r="I18" s="24" t="s">
        <v>122</v>
      </c>
      <c r="J18" s="20" t="s">
        <v>123</v>
      </c>
      <c r="K18" s="9" t="s">
        <v>178</v>
      </c>
    </row>
    <row r="19" customFormat="false" ht="30" hidden="false" customHeight="true" outlineLevel="0" collapsed="false">
      <c r="A19" s="6" t="s">
        <v>179</v>
      </c>
      <c r="B19" s="7" t="s">
        <v>180</v>
      </c>
      <c r="C19" s="15" t="n">
        <v>3</v>
      </c>
      <c r="D19" s="6" t="s">
        <v>181</v>
      </c>
      <c r="E19" s="6" t="s">
        <v>182</v>
      </c>
      <c r="F19" s="6" t="s">
        <v>183</v>
      </c>
      <c r="G19" s="16" t="s">
        <v>101</v>
      </c>
      <c r="H19" s="17" t="s">
        <v>102</v>
      </c>
      <c r="I19" s="23" t="s">
        <v>116</v>
      </c>
      <c r="J19" s="16" t="s">
        <v>104</v>
      </c>
      <c r="K19" s="6" t="s">
        <v>184</v>
      </c>
    </row>
    <row r="20" customFormat="false" ht="30" hidden="false" customHeight="true" outlineLevel="0" collapsed="false">
      <c r="A20" s="9" t="s">
        <v>179</v>
      </c>
      <c r="B20" s="10" t="s">
        <v>185</v>
      </c>
      <c r="C20" s="19" t="n">
        <v>3</v>
      </c>
      <c r="D20" s="9" t="s">
        <v>186</v>
      </c>
      <c r="E20" s="9" t="s">
        <v>187</v>
      </c>
      <c r="F20" s="9" t="s">
        <v>188</v>
      </c>
      <c r="G20" s="20" t="s">
        <v>101</v>
      </c>
      <c r="H20" s="21" t="s">
        <v>110</v>
      </c>
      <c r="I20" s="21" t="s">
        <v>116</v>
      </c>
      <c r="J20" s="20" t="s">
        <v>104</v>
      </c>
      <c r="K20" s="9" t="s">
        <v>189</v>
      </c>
    </row>
    <row r="21" customFormat="false" ht="30" hidden="false" customHeight="true" outlineLevel="0" collapsed="false">
      <c r="A21" s="6" t="s">
        <v>179</v>
      </c>
      <c r="B21" s="7" t="s">
        <v>190</v>
      </c>
      <c r="C21" s="15" t="n">
        <v>3</v>
      </c>
      <c r="D21" s="6" t="s">
        <v>191</v>
      </c>
      <c r="E21" s="6" t="s">
        <v>192</v>
      </c>
      <c r="F21" s="6" t="s">
        <v>193</v>
      </c>
      <c r="G21" s="16" t="s">
        <v>101</v>
      </c>
      <c r="H21" s="17" t="s">
        <v>102</v>
      </c>
      <c r="I21" s="18" t="s">
        <v>103</v>
      </c>
      <c r="J21" s="16" t="s">
        <v>104</v>
      </c>
      <c r="K21" s="6" t="s">
        <v>194</v>
      </c>
    </row>
    <row r="22" customFormat="false" ht="30" hidden="false" customHeight="true" outlineLevel="0" collapsed="false">
      <c r="A22" s="9" t="s">
        <v>195</v>
      </c>
      <c r="B22" s="10" t="s">
        <v>196</v>
      </c>
      <c r="C22" s="19" t="n">
        <v>4</v>
      </c>
      <c r="D22" s="9" t="s">
        <v>197</v>
      </c>
      <c r="E22" s="9" t="s">
        <v>198</v>
      </c>
      <c r="F22" s="9" t="s">
        <v>199</v>
      </c>
      <c r="G22" s="20" t="s">
        <v>101</v>
      </c>
      <c r="H22" s="25" t="s">
        <v>102</v>
      </c>
      <c r="I22" s="22" t="s">
        <v>103</v>
      </c>
      <c r="J22" s="20" t="s">
        <v>104</v>
      </c>
      <c r="K22" s="9" t="s">
        <v>200</v>
      </c>
    </row>
    <row r="23" customFormat="false" ht="30" hidden="false" customHeight="true" outlineLevel="0" collapsed="false">
      <c r="A23" s="6" t="s">
        <v>201</v>
      </c>
      <c r="B23" s="7" t="s">
        <v>202</v>
      </c>
      <c r="C23" s="15" t="n">
        <v>1</v>
      </c>
      <c r="D23" s="6" t="s">
        <v>203</v>
      </c>
      <c r="E23" s="6" t="s">
        <v>204</v>
      </c>
      <c r="F23" s="6" t="s">
        <v>205</v>
      </c>
      <c r="G23" s="16" t="s">
        <v>104</v>
      </c>
      <c r="H23" s="23" t="s">
        <v>110</v>
      </c>
      <c r="I23" s="26" t="s">
        <v>122</v>
      </c>
      <c r="J23" s="16" t="s">
        <v>123</v>
      </c>
      <c r="K23" s="6" t="s">
        <v>206</v>
      </c>
    </row>
    <row r="24" customFormat="false" ht="30" hidden="false" customHeight="true" outlineLevel="0" collapsed="false">
      <c r="A24" s="9" t="s">
        <v>207</v>
      </c>
      <c r="B24" s="10" t="s">
        <v>208</v>
      </c>
      <c r="C24" s="19" t="n">
        <v>3</v>
      </c>
      <c r="D24" s="9" t="s">
        <v>209</v>
      </c>
      <c r="E24" s="9" t="s">
        <v>210</v>
      </c>
      <c r="F24" s="9" t="s">
        <v>211</v>
      </c>
      <c r="G24" s="20" t="s">
        <v>101</v>
      </c>
      <c r="H24" s="21" t="s">
        <v>110</v>
      </c>
      <c r="I24" s="22" t="s">
        <v>134</v>
      </c>
      <c r="J24" s="20" t="s">
        <v>104</v>
      </c>
      <c r="K24" s="9" t="s">
        <v>212</v>
      </c>
    </row>
    <row r="25" customFormat="false" ht="30" hidden="false" customHeight="true" outlineLevel="0" collapsed="false">
      <c r="A25" s="6" t="s">
        <v>207</v>
      </c>
      <c r="B25" s="7" t="s">
        <v>213</v>
      </c>
      <c r="C25" s="15" t="n">
        <v>3</v>
      </c>
      <c r="D25" s="6" t="s">
        <v>214</v>
      </c>
      <c r="E25" s="6" t="s">
        <v>215</v>
      </c>
      <c r="F25" s="6" t="s">
        <v>216</v>
      </c>
      <c r="G25" s="16" t="s">
        <v>101</v>
      </c>
      <c r="H25" s="23" t="s">
        <v>110</v>
      </c>
      <c r="I25" s="18" t="s">
        <v>103</v>
      </c>
      <c r="J25" s="16" t="s">
        <v>104</v>
      </c>
      <c r="K25" s="6" t="s">
        <v>217</v>
      </c>
    </row>
    <row r="26" customFormat="false" ht="30" hidden="false" customHeight="true" outlineLevel="0" collapsed="false">
      <c r="A26" s="9" t="s">
        <v>207</v>
      </c>
      <c r="B26" s="10" t="s">
        <v>218</v>
      </c>
      <c r="C26" s="19" t="n">
        <v>2</v>
      </c>
      <c r="D26" s="9" t="s">
        <v>219</v>
      </c>
      <c r="E26" s="9" t="s">
        <v>220</v>
      </c>
      <c r="F26" s="9" t="s">
        <v>221</v>
      </c>
      <c r="G26" s="20" t="s">
        <v>101</v>
      </c>
      <c r="H26" s="21" t="s">
        <v>110</v>
      </c>
      <c r="I26" s="21" t="s">
        <v>116</v>
      </c>
      <c r="J26" s="20" t="s">
        <v>104</v>
      </c>
      <c r="K26" s="9" t="s">
        <v>222</v>
      </c>
    </row>
    <row r="27" customFormat="false" ht="30" hidden="false" customHeight="true" outlineLevel="0" collapsed="false">
      <c r="A27" s="6" t="s">
        <v>223</v>
      </c>
      <c r="B27" s="7" t="s">
        <v>224</v>
      </c>
      <c r="C27" s="15" t="n">
        <v>4</v>
      </c>
      <c r="D27" s="6" t="s">
        <v>225</v>
      </c>
      <c r="E27" s="6" t="s">
        <v>226</v>
      </c>
      <c r="F27" s="6" t="s">
        <v>227</v>
      </c>
      <c r="G27" s="16" t="s">
        <v>101</v>
      </c>
      <c r="H27" s="23" t="s">
        <v>110</v>
      </c>
      <c r="I27" s="18" t="s">
        <v>103</v>
      </c>
      <c r="J27" s="16" t="s">
        <v>104</v>
      </c>
      <c r="K27" s="6" t="s">
        <v>228</v>
      </c>
    </row>
    <row r="28" customFormat="false" ht="30" hidden="false" customHeight="true" outlineLevel="0" collapsed="false">
      <c r="A28" s="9" t="s">
        <v>229</v>
      </c>
      <c r="B28" s="10" t="s">
        <v>230</v>
      </c>
      <c r="C28" s="19" t="n">
        <v>4</v>
      </c>
      <c r="D28" s="9" t="s">
        <v>231</v>
      </c>
      <c r="E28" s="9" t="s">
        <v>232</v>
      </c>
      <c r="F28" s="9" t="s">
        <v>233</v>
      </c>
      <c r="G28" s="20" t="s">
        <v>101</v>
      </c>
      <c r="H28" s="21" t="s">
        <v>110</v>
      </c>
      <c r="I28" s="22" t="s">
        <v>103</v>
      </c>
      <c r="J28" s="20" t="s">
        <v>104</v>
      </c>
      <c r="K28" s="9" t="s">
        <v>234</v>
      </c>
    </row>
    <row r="29" customFormat="false" ht="30" hidden="false" customHeight="true" outlineLevel="0" collapsed="false">
      <c r="A29" s="6" t="s">
        <v>229</v>
      </c>
      <c r="B29" s="7" t="s">
        <v>235</v>
      </c>
      <c r="C29" s="15" t="n">
        <v>3</v>
      </c>
      <c r="D29" s="6" t="s">
        <v>214</v>
      </c>
      <c r="E29" s="6" t="s">
        <v>236</v>
      </c>
      <c r="F29" s="6" t="s">
        <v>237</v>
      </c>
      <c r="G29" s="16" t="s">
        <v>101</v>
      </c>
      <c r="H29" s="17" t="s">
        <v>102</v>
      </c>
      <c r="I29" s="18" t="s">
        <v>103</v>
      </c>
      <c r="J29" s="16" t="s">
        <v>104</v>
      </c>
      <c r="K29" s="6" t="s">
        <v>238</v>
      </c>
    </row>
    <row r="30" customFormat="false" ht="30" hidden="false" customHeight="true" outlineLevel="0" collapsed="false">
      <c r="A30" s="9" t="s">
        <v>239</v>
      </c>
      <c r="B30" s="10" t="s">
        <v>240</v>
      </c>
      <c r="C30" s="19" t="n">
        <v>2</v>
      </c>
      <c r="D30" s="9" t="s">
        <v>241</v>
      </c>
      <c r="E30" s="9" t="s">
        <v>242</v>
      </c>
      <c r="F30" s="9" t="s">
        <v>243</v>
      </c>
      <c r="G30" s="20" t="s">
        <v>104</v>
      </c>
      <c r="H30" s="21" t="s">
        <v>110</v>
      </c>
      <c r="I30" s="21" t="s">
        <v>116</v>
      </c>
      <c r="J30" s="20" t="s">
        <v>104</v>
      </c>
      <c r="K30" s="9" t="s">
        <v>244</v>
      </c>
    </row>
    <row r="31" customFormat="false" ht="30" hidden="false" customHeight="true" outlineLevel="0" collapsed="false">
      <c r="A31" s="6" t="s">
        <v>245</v>
      </c>
      <c r="B31" s="7" t="s">
        <v>246</v>
      </c>
      <c r="C31" s="15" t="n">
        <v>3</v>
      </c>
      <c r="D31" s="6" t="s">
        <v>247</v>
      </c>
      <c r="E31" s="6" t="s">
        <v>248</v>
      </c>
      <c r="F31" s="6" t="s">
        <v>227</v>
      </c>
      <c r="G31" s="16" t="s">
        <v>104</v>
      </c>
      <c r="H31" s="23" t="s">
        <v>110</v>
      </c>
      <c r="I31" s="23" t="s">
        <v>116</v>
      </c>
      <c r="J31" s="16" t="s">
        <v>104</v>
      </c>
      <c r="K31" s="6" t="s">
        <v>249</v>
      </c>
    </row>
    <row r="32" customFormat="false" ht="30" hidden="false" customHeight="true" outlineLevel="0" collapsed="false">
      <c r="A32" s="9" t="s">
        <v>245</v>
      </c>
      <c r="B32" s="10" t="s">
        <v>250</v>
      </c>
      <c r="C32" s="19" t="n">
        <v>1</v>
      </c>
      <c r="D32" s="9" t="s">
        <v>251</v>
      </c>
      <c r="E32" s="9" t="s">
        <v>204</v>
      </c>
      <c r="F32" s="9" t="s">
        <v>252</v>
      </c>
      <c r="G32" s="20" t="s">
        <v>104</v>
      </c>
      <c r="H32" s="21" t="s">
        <v>110</v>
      </c>
      <c r="I32" s="24" t="s">
        <v>122</v>
      </c>
      <c r="J32" s="20" t="s">
        <v>123</v>
      </c>
      <c r="K32" s="9" t="s">
        <v>253</v>
      </c>
    </row>
    <row r="33" customFormat="false" ht="30" hidden="false" customHeight="true" outlineLevel="0" collapsed="false">
      <c r="A33" s="6" t="s">
        <v>254</v>
      </c>
      <c r="B33" s="7" t="s">
        <v>255</v>
      </c>
      <c r="C33" s="15" t="n">
        <v>4</v>
      </c>
      <c r="D33" s="6" t="s">
        <v>256</v>
      </c>
      <c r="E33" s="6" t="s">
        <v>257</v>
      </c>
      <c r="F33" s="6" t="s">
        <v>258</v>
      </c>
      <c r="G33" s="16" t="s">
        <v>104</v>
      </c>
      <c r="H33" s="23" t="s">
        <v>110</v>
      </c>
      <c r="I33" s="18" t="s">
        <v>134</v>
      </c>
      <c r="J33" s="16" t="s">
        <v>104</v>
      </c>
      <c r="K33" s="6" t="s">
        <v>259</v>
      </c>
    </row>
    <row r="34" customFormat="false" ht="30" hidden="false" customHeight="true" outlineLevel="0" collapsed="false">
      <c r="A34" s="9" t="s">
        <v>254</v>
      </c>
      <c r="B34" s="10" t="s">
        <v>260</v>
      </c>
      <c r="C34" s="19" t="n">
        <v>4</v>
      </c>
      <c r="D34" s="9" t="s">
        <v>261</v>
      </c>
      <c r="E34" s="9" t="s">
        <v>262</v>
      </c>
      <c r="F34" s="9" t="s">
        <v>263</v>
      </c>
      <c r="G34" s="20" t="s">
        <v>104</v>
      </c>
      <c r="H34" s="21" t="s">
        <v>110</v>
      </c>
      <c r="I34" s="22" t="s">
        <v>103</v>
      </c>
      <c r="J34" s="20" t="s">
        <v>104</v>
      </c>
      <c r="K34" s="9" t="s">
        <v>264</v>
      </c>
    </row>
    <row r="35" customFormat="false" ht="30" hidden="false" customHeight="true" outlineLevel="0" collapsed="false">
      <c r="A35" s="6" t="s">
        <v>254</v>
      </c>
      <c r="B35" s="7" t="s">
        <v>265</v>
      </c>
      <c r="C35" s="15" t="n">
        <v>3</v>
      </c>
      <c r="D35" s="6" t="s">
        <v>266</v>
      </c>
      <c r="E35" s="6" t="s">
        <v>267</v>
      </c>
      <c r="F35" s="6" t="s">
        <v>243</v>
      </c>
      <c r="G35" s="16" t="s">
        <v>104</v>
      </c>
      <c r="H35" s="23" t="s">
        <v>110</v>
      </c>
      <c r="I35" s="18" t="s">
        <v>103</v>
      </c>
      <c r="J35" s="16" t="s">
        <v>104</v>
      </c>
      <c r="K35" s="6" t="s">
        <v>268</v>
      </c>
    </row>
    <row r="36" customFormat="false" ht="30" hidden="false" customHeight="true" outlineLevel="0" collapsed="false">
      <c r="A36" s="9" t="s">
        <v>254</v>
      </c>
      <c r="B36" s="10" t="s">
        <v>269</v>
      </c>
      <c r="C36" s="19" t="n">
        <v>2</v>
      </c>
      <c r="D36" s="9" t="s">
        <v>270</v>
      </c>
      <c r="E36" s="9" t="s">
        <v>271</v>
      </c>
      <c r="F36" s="9" t="s">
        <v>272</v>
      </c>
      <c r="G36" s="20" t="s">
        <v>104</v>
      </c>
      <c r="H36" s="21" t="s">
        <v>110</v>
      </c>
      <c r="I36" s="21" t="s">
        <v>116</v>
      </c>
      <c r="J36" s="20" t="s">
        <v>104</v>
      </c>
      <c r="K36" s="9" t="s">
        <v>273</v>
      </c>
    </row>
    <row r="37" customFormat="false" ht="30" hidden="false" customHeight="true" outlineLevel="0" collapsed="false">
      <c r="A37" s="6" t="s">
        <v>254</v>
      </c>
      <c r="B37" s="7" t="s">
        <v>274</v>
      </c>
      <c r="C37" s="15" t="n">
        <v>1</v>
      </c>
      <c r="D37" s="6" t="s">
        <v>251</v>
      </c>
      <c r="E37" s="6" t="s">
        <v>275</v>
      </c>
      <c r="F37" s="6" t="s">
        <v>252</v>
      </c>
      <c r="G37" s="16" t="s">
        <v>104</v>
      </c>
      <c r="H37" s="23" t="s">
        <v>110</v>
      </c>
      <c r="I37" s="26" t="s">
        <v>122</v>
      </c>
      <c r="J37" s="16" t="s">
        <v>123</v>
      </c>
      <c r="K37" s="6" t="s">
        <v>276</v>
      </c>
    </row>
    <row r="38" customFormat="false" ht="30" hidden="false" customHeight="true" outlineLevel="0" collapsed="false">
      <c r="A38" s="9" t="s">
        <v>277</v>
      </c>
      <c r="B38" s="10" t="s">
        <v>278</v>
      </c>
      <c r="C38" s="19" t="n">
        <v>3</v>
      </c>
      <c r="D38" s="9" t="s">
        <v>279</v>
      </c>
      <c r="E38" s="9" t="s">
        <v>280</v>
      </c>
      <c r="F38" s="9" t="s">
        <v>227</v>
      </c>
      <c r="G38" s="20" t="s">
        <v>104</v>
      </c>
      <c r="H38" s="21" t="s">
        <v>110</v>
      </c>
      <c r="I38" s="21" t="s">
        <v>116</v>
      </c>
      <c r="J38" s="20" t="s">
        <v>104</v>
      </c>
      <c r="K38" s="9" t="s">
        <v>281</v>
      </c>
    </row>
    <row r="39" customFormat="false" ht="30" hidden="false" customHeight="true" outlineLevel="0" collapsed="false">
      <c r="A39" s="6" t="s">
        <v>277</v>
      </c>
      <c r="B39" s="7" t="s">
        <v>282</v>
      </c>
      <c r="C39" s="15" t="n">
        <v>3</v>
      </c>
      <c r="D39" s="6" t="s">
        <v>283</v>
      </c>
      <c r="E39" s="6" t="s">
        <v>284</v>
      </c>
      <c r="F39" s="6" t="s">
        <v>243</v>
      </c>
      <c r="G39" s="16" t="s">
        <v>104</v>
      </c>
      <c r="H39" s="23" t="s">
        <v>110</v>
      </c>
      <c r="I39" s="23" t="s">
        <v>116</v>
      </c>
      <c r="J39" s="16" t="s">
        <v>104</v>
      </c>
      <c r="K39" s="6" t="s">
        <v>285</v>
      </c>
    </row>
    <row r="40" customFormat="false" ht="30" hidden="false" customHeight="true" outlineLevel="0" collapsed="false">
      <c r="A40" s="9" t="s">
        <v>286</v>
      </c>
      <c r="B40" s="10" t="s">
        <v>287</v>
      </c>
      <c r="C40" s="19" t="n">
        <v>3</v>
      </c>
      <c r="D40" s="9" t="s">
        <v>288</v>
      </c>
      <c r="E40" s="9" t="s">
        <v>289</v>
      </c>
      <c r="F40" s="9" t="s">
        <v>243</v>
      </c>
      <c r="G40" s="20" t="s">
        <v>104</v>
      </c>
      <c r="H40" s="21" t="s">
        <v>110</v>
      </c>
      <c r="I40" s="22" t="s">
        <v>103</v>
      </c>
      <c r="J40" s="20" t="s">
        <v>104</v>
      </c>
      <c r="K40" s="9" t="s">
        <v>290</v>
      </c>
    </row>
    <row r="41" customFormat="false" ht="30" hidden="false" customHeight="true" outlineLevel="0" collapsed="false">
      <c r="A41" s="6" t="s">
        <v>291</v>
      </c>
      <c r="B41" s="7" t="s">
        <v>292</v>
      </c>
      <c r="C41" s="15" t="n">
        <v>3</v>
      </c>
      <c r="D41" s="6" t="s">
        <v>293</v>
      </c>
      <c r="E41" s="6" t="s">
        <v>294</v>
      </c>
      <c r="F41" s="6" t="s">
        <v>252</v>
      </c>
      <c r="G41" s="16" t="s">
        <v>104</v>
      </c>
      <c r="H41" s="23" t="s">
        <v>110</v>
      </c>
      <c r="I41" s="23" t="s">
        <v>116</v>
      </c>
      <c r="J41" s="16" t="s">
        <v>104</v>
      </c>
      <c r="K41" s="6" t="s">
        <v>295</v>
      </c>
    </row>
    <row r="42" customFormat="false" ht="30" hidden="false" customHeight="true" outlineLevel="0" collapsed="false">
      <c r="A42" s="9" t="s">
        <v>291</v>
      </c>
      <c r="B42" s="10" t="s">
        <v>296</v>
      </c>
      <c r="C42" s="19" t="n">
        <v>4</v>
      </c>
      <c r="D42" s="9" t="s">
        <v>297</v>
      </c>
      <c r="E42" s="9" t="s">
        <v>198</v>
      </c>
      <c r="F42" s="9" t="s">
        <v>298</v>
      </c>
      <c r="G42" s="20" t="s">
        <v>104</v>
      </c>
      <c r="H42" s="25" t="s">
        <v>102</v>
      </c>
      <c r="I42" s="22" t="s">
        <v>103</v>
      </c>
      <c r="J42" s="20" t="s">
        <v>104</v>
      </c>
      <c r="K42" s="9" t="s">
        <v>299</v>
      </c>
    </row>
    <row r="43" customFormat="false" ht="30" hidden="false" customHeight="true" outlineLevel="0" collapsed="false">
      <c r="A43" s="6" t="s">
        <v>300</v>
      </c>
      <c r="B43" s="7" t="s">
        <v>301</v>
      </c>
      <c r="C43" s="15" t="n">
        <v>4</v>
      </c>
      <c r="D43" s="6" t="s">
        <v>293</v>
      </c>
      <c r="E43" s="6" t="s">
        <v>302</v>
      </c>
      <c r="F43" s="6" t="s">
        <v>165</v>
      </c>
      <c r="G43" s="16" t="s">
        <v>104</v>
      </c>
      <c r="H43" s="23" t="s">
        <v>110</v>
      </c>
      <c r="I43" s="23" t="s">
        <v>116</v>
      </c>
      <c r="J43" s="16" t="s">
        <v>104</v>
      </c>
      <c r="K43" s="6" t="s">
        <v>303</v>
      </c>
    </row>
    <row r="44" customFormat="false" ht="30" hidden="false" customHeight="true" outlineLevel="0" collapsed="false">
      <c r="A44" s="9" t="s">
        <v>304</v>
      </c>
      <c r="B44" s="10" t="s">
        <v>305</v>
      </c>
      <c r="C44" s="19" t="n">
        <v>2</v>
      </c>
      <c r="D44" s="9" t="s">
        <v>293</v>
      </c>
      <c r="E44" s="9" t="s">
        <v>306</v>
      </c>
      <c r="F44" s="9" t="s">
        <v>252</v>
      </c>
      <c r="G44" s="20" t="s">
        <v>104</v>
      </c>
      <c r="H44" s="21" t="s">
        <v>110</v>
      </c>
      <c r="I44" s="22" t="s">
        <v>103</v>
      </c>
      <c r="J44" s="20" t="s">
        <v>104</v>
      </c>
      <c r="K44" s="9" t="s">
        <v>307</v>
      </c>
    </row>
    <row r="45" customFormat="false" ht="30" hidden="false" customHeight="true" outlineLevel="0" collapsed="false">
      <c r="A45" s="6" t="s">
        <v>308</v>
      </c>
      <c r="B45" s="7" t="s">
        <v>309</v>
      </c>
      <c r="C45" s="15" t="n">
        <v>2</v>
      </c>
      <c r="D45" s="6" t="s">
        <v>310</v>
      </c>
      <c r="E45" s="6" t="s">
        <v>311</v>
      </c>
      <c r="F45" s="6" t="s">
        <v>312</v>
      </c>
      <c r="G45" s="16" t="s">
        <v>104</v>
      </c>
      <c r="H45" s="23" t="s">
        <v>110</v>
      </c>
      <c r="I45" s="26" t="s">
        <v>122</v>
      </c>
      <c r="J45" s="16" t="s">
        <v>104</v>
      </c>
      <c r="K45" s="6" t="s">
        <v>313</v>
      </c>
    </row>
    <row r="46" customFormat="false" ht="30" hidden="false" customHeight="true" outlineLevel="0" collapsed="false">
      <c r="A46" s="9" t="s">
        <v>308</v>
      </c>
      <c r="B46" s="10" t="s">
        <v>314</v>
      </c>
      <c r="C46" s="19" t="n">
        <v>4</v>
      </c>
      <c r="D46" s="9" t="s">
        <v>315</v>
      </c>
      <c r="E46" s="9" t="s">
        <v>316</v>
      </c>
      <c r="F46" s="9" t="s">
        <v>317</v>
      </c>
      <c r="G46" s="20" t="s">
        <v>104</v>
      </c>
      <c r="H46" s="21" t="s">
        <v>110</v>
      </c>
      <c r="I46" s="21" t="s">
        <v>116</v>
      </c>
      <c r="J46" s="20" t="s">
        <v>104</v>
      </c>
      <c r="K46" s="9" t="s">
        <v>318</v>
      </c>
    </row>
    <row r="47" customFormat="false" ht="30" hidden="false" customHeight="true" outlineLevel="0" collapsed="false">
      <c r="A47" s="6" t="s">
        <v>308</v>
      </c>
      <c r="B47" s="7" t="s">
        <v>319</v>
      </c>
      <c r="C47" s="15" t="n">
        <v>3</v>
      </c>
      <c r="D47" s="6" t="s">
        <v>320</v>
      </c>
      <c r="E47" s="6" t="s">
        <v>321</v>
      </c>
      <c r="F47" s="6" t="s">
        <v>322</v>
      </c>
      <c r="G47" s="16" t="s">
        <v>104</v>
      </c>
      <c r="H47" s="23" t="s">
        <v>110</v>
      </c>
      <c r="I47" s="23" t="s">
        <v>116</v>
      </c>
      <c r="J47" s="16" t="s">
        <v>104</v>
      </c>
      <c r="K47" s="6" t="s">
        <v>323</v>
      </c>
    </row>
    <row r="48" customFormat="false" ht="30" hidden="false" customHeight="true" outlineLevel="0" collapsed="false">
      <c r="A48" s="9" t="s">
        <v>324</v>
      </c>
      <c r="B48" s="10" t="s">
        <v>325</v>
      </c>
      <c r="C48" s="19" t="n">
        <v>3</v>
      </c>
      <c r="D48" s="9" t="s">
        <v>326</v>
      </c>
      <c r="E48" s="9" t="s">
        <v>327</v>
      </c>
      <c r="F48" s="9" t="s">
        <v>312</v>
      </c>
      <c r="G48" s="20" t="s">
        <v>104</v>
      </c>
      <c r="H48" s="21" t="s">
        <v>110</v>
      </c>
      <c r="I48" s="21" t="s">
        <v>116</v>
      </c>
      <c r="J48" s="20" t="s">
        <v>104</v>
      </c>
      <c r="K48" s="9" t="s">
        <v>328</v>
      </c>
    </row>
    <row r="49" customFormat="false" ht="30" hidden="false" customHeight="true" outlineLevel="0" collapsed="false">
      <c r="A49" s="6" t="s">
        <v>324</v>
      </c>
      <c r="B49" s="7" t="s">
        <v>329</v>
      </c>
      <c r="C49" s="15" t="n">
        <v>2</v>
      </c>
      <c r="D49" s="6" t="s">
        <v>330</v>
      </c>
      <c r="E49" s="6" t="s">
        <v>331</v>
      </c>
      <c r="F49" s="6" t="s">
        <v>312</v>
      </c>
      <c r="G49" s="16" t="s">
        <v>104</v>
      </c>
      <c r="H49" s="23" t="s">
        <v>110</v>
      </c>
      <c r="I49" s="23" t="s">
        <v>116</v>
      </c>
      <c r="J49" s="16" t="s">
        <v>104</v>
      </c>
      <c r="K49" s="6" t="s">
        <v>332</v>
      </c>
    </row>
    <row r="50" customFormat="false" ht="30" hidden="false" customHeight="true" outlineLevel="0" collapsed="false">
      <c r="A50" s="9" t="s">
        <v>324</v>
      </c>
      <c r="B50" s="10" t="s">
        <v>333</v>
      </c>
      <c r="C50" s="19" t="n">
        <v>1</v>
      </c>
      <c r="D50" s="9" t="s">
        <v>293</v>
      </c>
      <c r="E50" s="9" t="s">
        <v>334</v>
      </c>
      <c r="F50" s="9" t="s">
        <v>312</v>
      </c>
      <c r="G50" s="20" t="s">
        <v>104</v>
      </c>
      <c r="H50" s="21" t="s">
        <v>110</v>
      </c>
      <c r="I50" s="24" t="s">
        <v>122</v>
      </c>
      <c r="J50" s="20" t="s">
        <v>123</v>
      </c>
      <c r="K50" s="9" t="s">
        <v>335</v>
      </c>
    </row>
    <row r="52" customFormat="false" ht="27.75" hidden="false" customHeight="true" outlineLevel="0" collapsed="false">
      <c r="A52" s="14" t="s">
        <v>336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</row>
    <row r="53" customFormat="false" ht="15" hidden="false" customHeight="false" outlineLevel="0" collapsed="false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</sheetData>
  <mergeCells count="3">
    <mergeCell ref="A1:K1"/>
    <mergeCell ref="A2:K2"/>
    <mergeCell ref="A52:K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  <col collapsed="false" customWidth="true" hidden="false" outlineLevel="0" max="5" min="5" style="0" width="30"/>
  </cols>
  <sheetData>
    <row r="1" customFormat="false" ht="24" hidden="false" customHeight="true" outlineLevel="0" collapsed="false">
      <c r="A1" s="1" t="s">
        <v>337</v>
      </c>
      <c r="B1" s="1"/>
      <c r="C1" s="1"/>
      <c r="D1" s="1"/>
      <c r="E1" s="1"/>
    </row>
    <row r="2" customFormat="false" ht="13.5" hidden="false" customHeight="true" outlineLevel="0" collapsed="false">
      <c r="A2" s="2" t="s">
        <v>338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339</v>
      </c>
      <c r="B4" s="3"/>
      <c r="C4" s="3"/>
      <c r="D4" s="3"/>
      <c r="E4" s="3"/>
    </row>
    <row r="5" customFormat="false" ht="30" hidden="false" customHeight="true" outlineLevel="0" collapsed="false">
      <c r="A5" s="5" t="s">
        <v>340</v>
      </c>
      <c r="B5" s="5" t="s">
        <v>341</v>
      </c>
      <c r="C5" s="5" t="s">
        <v>342</v>
      </c>
      <c r="D5" s="5" t="s">
        <v>343</v>
      </c>
      <c r="E5" s="5" t="s">
        <v>344</v>
      </c>
    </row>
    <row r="6" customFormat="false" ht="15" hidden="false" customHeight="false" outlineLevel="0" collapsed="false">
      <c r="A6" s="27" t="s">
        <v>345</v>
      </c>
      <c r="B6" s="28" t="n">
        <v>0.126</v>
      </c>
      <c r="C6" s="29" t="n">
        <v>12.3</v>
      </c>
      <c r="D6" s="30"/>
      <c r="E6" s="30" t="s">
        <v>346</v>
      </c>
    </row>
    <row r="7" customFormat="false" ht="15" hidden="false" customHeight="false" outlineLevel="0" collapsed="false">
      <c r="A7" s="31" t="s">
        <v>347</v>
      </c>
      <c r="B7" s="32" t="n">
        <v>0.11</v>
      </c>
      <c r="C7" s="33" t="n">
        <v>20</v>
      </c>
      <c r="D7" s="32" t="n">
        <v>-0.406</v>
      </c>
      <c r="E7" s="34" t="s">
        <v>348</v>
      </c>
    </row>
    <row r="8" customFormat="false" ht="15" hidden="false" customHeight="false" outlineLevel="0" collapsed="false">
      <c r="A8" s="27" t="s">
        <v>349</v>
      </c>
      <c r="B8" s="28" t="n">
        <v>0.093</v>
      </c>
      <c r="C8" s="30"/>
      <c r="D8" s="30"/>
      <c r="E8" s="30" t="s">
        <v>350</v>
      </c>
    </row>
    <row r="9" customFormat="false" ht="15" hidden="false" customHeight="false" outlineLevel="0" collapsed="false">
      <c r="A9" s="31" t="s">
        <v>351</v>
      </c>
      <c r="B9" s="32" t="n">
        <v>0.08</v>
      </c>
      <c r="C9" s="34"/>
      <c r="D9" s="34"/>
      <c r="E9" s="34"/>
    </row>
    <row r="10" customFormat="false" ht="15" hidden="false" customHeight="false" outlineLevel="0" collapsed="false">
      <c r="A10" s="27" t="s">
        <v>352</v>
      </c>
      <c r="B10" s="28" t="n">
        <v>0.052</v>
      </c>
      <c r="C10" s="30"/>
      <c r="D10" s="30"/>
      <c r="E10" s="30"/>
    </row>
    <row r="11" customFormat="false" ht="15" hidden="false" customHeight="false" outlineLevel="0" collapsed="false">
      <c r="A11" s="35" t="s">
        <v>353</v>
      </c>
      <c r="B11" s="35"/>
      <c r="C11" s="35"/>
      <c r="D11" s="35"/>
      <c r="E11" s="35"/>
    </row>
    <row r="13" customFormat="false" ht="19.5" hidden="false" customHeight="true" outlineLevel="0" collapsed="false">
      <c r="A13" s="3" t="s">
        <v>354</v>
      </c>
      <c r="B13" s="3"/>
      <c r="C13" s="3"/>
      <c r="D13" s="3"/>
      <c r="E13" s="3"/>
    </row>
    <row r="14" customFormat="false" ht="30" hidden="false" customHeight="true" outlineLevel="0" collapsed="false">
      <c r="A14" s="5" t="s">
        <v>355</v>
      </c>
      <c r="B14" s="5" t="s">
        <v>356</v>
      </c>
      <c r="C14" s="5" t="s">
        <v>357</v>
      </c>
      <c r="D14" s="5"/>
      <c r="E14" s="5" t="s">
        <v>344</v>
      </c>
    </row>
    <row r="15" customFormat="false" ht="15" hidden="false" customHeight="false" outlineLevel="0" collapsed="false">
      <c r="A15" s="31" t="s">
        <v>358</v>
      </c>
      <c r="B15" s="36" t="n">
        <v>0.0111</v>
      </c>
      <c r="C15" s="34" t="s">
        <v>359</v>
      </c>
      <c r="D15" s="34"/>
      <c r="E15" s="34" t="s">
        <v>360</v>
      </c>
    </row>
    <row r="16" customFormat="false" ht="15" hidden="false" customHeight="false" outlineLevel="0" collapsed="false">
      <c r="A16" s="27" t="s">
        <v>361</v>
      </c>
      <c r="B16" s="37" t="n">
        <v>0.0481</v>
      </c>
      <c r="C16" s="30" t="s">
        <v>359</v>
      </c>
      <c r="D16" s="30"/>
      <c r="E16" s="30" t="s">
        <v>362</v>
      </c>
    </row>
    <row r="17" customFormat="false" ht="23.85" hidden="false" customHeight="false" outlineLevel="0" collapsed="false">
      <c r="A17" s="31" t="s">
        <v>363</v>
      </c>
      <c r="B17" s="34" t="s">
        <v>364</v>
      </c>
      <c r="C17" s="34" t="s">
        <v>365</v>
      </c>
      <c r="D17" s="34"/>
      <c r="E17" s="34" t="s">
        <v>366</v>
      </c>
    </row>
    <row r="18" customFormat="false" ht="15" hidden="false" customHeight="false" outlineLevel="0" collapsed="false">
      <c r="A18" s="35" t="s">
        <v>367</v>
      </c>
      <c r="B18" s="35"/>
      <c r="C18" s="35"/>
      <c r="D18" s="35"/>
      <c r="E18" s="35"/>
    </row>
    <row r="20" customFormat="false" ht="19.5" hidden="false" customHeight="true" outlineLevel="0" collapsed="false">
      <c r="A20" s="3" t="s">
        <v>368</v>
      </c>
      <c r="B20" s="3"/>
      <c r="C20" s="3"/>
      <c r="D20" s="3"/>
      <c r="E20" s="3"/>
    </row>
    <row r="21" customFormat="false" ht="30" hidden="false" customHeight="true" outlineLevel="0" collapsed="false">
      <c r="A21" s="5" t="s">
        <v>369</v>
      </c>
      <c r="B21" s="5" t="s">
        <v>370</v>
      </c>
      <c r="C21" s="5" t="s">
        <v>357</v>
      </c>
      <c r="D21" s="5"/>
      <c r="E21" s="5" t="s">
        <v>344</v>
      </c>
    </row>
    <row r="22" customFormat="false" ht="15" hidden="false" customHeight="false" outlineLevel="0" collapsed="false">
      <c r="A22" s="27" t="s">
        <v>371</v>
      </c>
      <c r="B22" s="28" t="n">
        <v>0.028</v>
      </c>
      <c r="C22" s="30" t="s">
        <v>372</v>
      </c>
      <c r="D22" s="30"/>
      <c r="E22" s="30" t="s">
        <v>373</v>
      </c>
    </row>
    <row r="23" customFormat="false" ht="15" hidden="false" customHeight="false" outlineLevel="0" collapsed="false">
      <c r="A23" s="31" t="s">
        <v>374</v>
      </c>
      <c r="B23" s="32" t="n">
        <v>0.025</v>
      </c>
      <c r="C23" s="34" t="s">
        <v>372</v>
      </c>
      <c r="D23" s="34"/>
      <c r="E23" s="34" t="s">
        <v>373</v>
      </c>
    </row>
    <row r="24" customFormat="false" ht="23.85" hidden="false" customHeight="false" outlineLevel="0" collapsed="false">
      <c r="A24" s="27" t="s">
        <v>375</v>
      </c>
      <c r="B24" s="28" t="n">
        <v>0.0264</v>
      </c>
      <c r="C24" s="30" t="s">
        <v>376</v>
      </c>
      <c r="D24" s="30"/>
      <c r="E24" s="30" t="s">
        <v>377</v>
      </c>
    </row>
    <row r="25" customFormat="false" ht="15" hidden="false" customHeight="false" outlineLevel="0" collapsed="false">
      <c r="A25" s="35" t="s">
        <v>378</v>
      </c>
      <c r="B25" s="35"/>
      <c r="C25" s="35"/>
      <c r="D25" s="35"/>
      <c r="E25" s="35"/>
    </row>
    <row r="27" customFormat="false" ht="19.5" hidden="false" customHeight="true" outlineLevel="0" collapsed="false">
      <c r="A27" s="3" t="s">
        <v>379</v>
      </c>
      <c r="B27" s="3"/>
      <c r="C27" s="3"/>
      <c r="D27" s="3"/>
      <c r="E27" s="3"/>
    </row>
    <row r="28" customFormat="false" ht="30" hidden="false" customHeight="true" outlineLevel="0" collapsed="false">
      <c r="A28" s="5" t="s">
        <v>380</v>
      </c>
      <c r="B28" s="5" t="s">
        <v>381</v>
      </c>
      <c r="C28" s="5"/>
      <c r="D28" s="5"/>
      <c r="E28" s="5" t="s">
        <v>344</v>
      </c>
    </row>
    <row r="29" customFormat="false" ht="15" hidden="false" customHeight="false" outlineLevel="0" collapsed="false">
      <c r="A29" s="31" t="s">
        <v>382</v>
      </c>
      <c r="B29" s="34" t="s">
        <v>383</v>
      </c>
      <c r="C29" s="34"/>
      <c r="D29" s="34"/>
      <c r="E29" s="34" t="s">
        <v>384</v>
      </c>
    </row>
    <row r="30" customFormat="false" ht="23.85" hidden="false" customHeight="false" outlineLevel="0" collapsed="false">
      <c r="A30" s="27" t="s">
        <v>385</v>
      </c>
      <c r="B30" s="30" t="s">
        <v>386</v>
      </c>
      <c r="C30" s="30"/>
      <c r="D30" s="30"/>
      <c r="E30" s="30" t="s">
        <v>387</v>
      </c>
    </row>
    <row r="31" customFormat="false" ht="15" hidden="false" customHeight="false" outlineLevel="0" collapsed="false">
      <c r="A31" s="31" t="s">
        <v>388</v>
      </c>
      <c r="B31" s="34" t="s">
        <v>389</v>
      </c>
      <c r="C31" s="34"/>
      <c r="D31" s="34"/>
      <c r="E31" s="34" t="s">
        <v>390</v>
      </c>
    </row>
    <row r="32" customFormat="false" ht="15" hidden="false" customHeight="false" outlineLevel="0" collapsed="false">
      <c r="A32" s="27" t="s">
        <v>391</v>
      </c>
      <c r="B32" s="30" t="s">
        <v>392</v>
      </c>
      <c r="C32" s="30"/>
      <c r="D32" s="30"/>
      <c r="E32" s="30" t="s">
        <v>393</v>
      </c>
    </row>
    <row r="33" customFormat="false" ht="15" hidden="false" customHeight="false" outlineLevel="0" collapsed="false">
      <c r="A33" s="35" t="s">
        <v>394</v>
      </c>
      <c r="B33" s="35"/>
      <c r="C33" s="35"/>
      <c r="D33" s="35"/>
      <c r="E33" s="35"/>
    </row>
  </sheetData>
  <mergeCells count="10">
    <mergeCell ref="A1:E1"/>
    <mergeCell ref="A2:E2"/>
    <mergeCell ref="A4:E4"/>
    <mergeCell ref="A11:E11"/>
    <mergeCell ref="A13:E13"/>
    <mergeCell ref="A18:E18"/>
    <mergeCell ref="A20:E20"/>
    <mergeCell ref="A25:E25"/>
    <mergeCell ref="A27:E27"/>
    <mergeCell ref="A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6"/>
    <col collapsed="false" customWidth="true" hidden="false" outlineLevel="0" max="6" min="6" style="0" width="22"/>
  </cols>
  <sheetData>
    <row r="1" customFormat="false" ht="24" hidden="false" customHeight="true" outlineLevel="0" collapsed="false">
      <c r="A1" s="1" t="s">
        <v>395</v>
      </c>
      <c r="B1" s="1"/>
      <c r="C1" s="1"/>
      <c r="D1" s="1"/>
      <c r="E1" s="1"/>
      <c r="F1" s="1"/>
    </row>
    <row r="2" customFormat="false" ht="13.5" hidden="false" customHeight="true" outlineLevel="0" collapsed="false">
      <c r="A2" s="2" t="s">
        <v>396</v>
      </c>
      <c r="B2" s="2"/>
      <c r="C2" s="2"/>
      <c r="D2" s="2"/>
      <c r="E2" s="2"/>
      <c r="F2" s="2"/>
    </row>
    <row r="4" customFormat="false" ht="19.5" hidden="false" customHeight="true" outlineLevel="0" collapsed="false">
      <c r="A4" s="3" t="s">
        <v>397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38" t="s">
        <v>398</v>
      </c>
      <c r="B5" s="39" t="n">
        <v>1000</v>
      </c>
      <c r="C5" s="35" t="s">
        <v>399</v>
      </c>
      <c r="D5" s="35"/>
      <c r="E5" s="35"/>
      <c r="F5" s="35"/>
    </row>
    <row r="6" customFormat="false" ht="15" hidden="false" customHeight="false" outlineLevel="0" collapsed="false">
      <c r="A6" s="38" t="s">
        <v>400</v>
      </c>
      <c r="B6" s="40" t="n">
        <v>0.2</v>
      </c>
      <c r="C6" s="35" t="s">
        <v>401</v>
      </c>
      <c r="D6" s="35"/>
      <c r="E6" s="35"/>
      <c r="F6" s="35"/>
    </row>
    <row r="7" customFormat="false" ht="15" hidden="false" customHeight="false" outlineLevel="0" collapsed="false">
      <c r="A7" s="38" t="s">
        <v>402</v>
      </c>
      <c r="B7" s="40" t="n">
        <v>0.15</v>
      </c>
      <c r="C7" s="35" t="s">
        <v>403</v>
      </c>
      <c r="D7" s="35"/>
      <c r="E7" s="35"/>
      <c r="F7" s="35"/>
    </row>
    <row r="8" customFormat="false" ht="15" hidden="false" customHeight="false" outlineLevel="0" collapsed="false">
      <c r="A8" s="38" t="s">
        <v>404</v>
      </c>
      <c r="B8" s="40" t="n">
        <v>0.05</v>
      </c>
      <c r="C8" s="35" t="s">
        <v>405</v>
      </c>
      <c r="D8" s="35"/>
      <c r="E8" s="35"/>
      <c r="F8" s="35"/>
    </row>
    <row r="9" customFormat="false" ht="15" hidden="false" customHeight="false" outlineLevel="0" collapsed="false">
      <c r="A9" s="38" t="s">
        <v>406</v>
      </c>
      <c r="B9" s="41" t="n">
        <v>5</v>
      </c>
      <c r="C9" s="35" t="s">
        <v>407</v>
      </c>
      <c r="D9" s="35"/>
      <c r="E9" s="35"/>
      <c r="F9" s="35"/>
    </row>
    <row r="11" customFormat="false" ht="19.5" hidden="false" customHeight="true" outlineLevel="0" collapsed="false">
      <c r="A11" s="3" t="s">
        <v>408</v>
      </c>
      <c r="B11" s="3"/>
      <c r="C11" s="3"/>
      <c r="D11" s="3"/>
      <c r="E11" s="3"/>
      <c r="F11" s="3"/>
    </row>
    <row r="12" customFormat="false" ht="15" hidden="false" customHeight="false" outlineLevel="0" collapsed="false">
      <c r="A12" s="42" t="s">
        <v>409</v>
      </c>
      <c r="B12" s="43" t="n">
        <f aca="false">B5/(1+B6)</f>
        <v>833.333333333333</v>
      </c>
    </row>
    <row r="13" customFormat="false" ht="15" hidden="false" customHeight="false" outlineLevel="0" collapsed="false">
      <c r="A13" s="42" t="s">
        <v>410</v>
      </c>
      <c r="B13" s="43" t="n">
        <f aca="false">B5*(1+B8)^B9</f>
        <v>1276.2815625</v>
      </c>
    </row>
    <row r="14" customFormat="false" ht="15" hidden="false" customHeight="false" outlineLevel="0" collapsed="false">
      <c r="A14" s="42" t="s">
        <v>411</v>
      </c>
      <c r="B14" s="43" t="n">
        <f aca="false">B13*(1-B7)</f>
        <v>1084.839328125</v>
      </c>
    </row>
    <row r="15" customFormat="false" ht="15" hidden="false" customHeight="false" outlineLevel="0" collapsed="false">
      <c r="A15" s="42" t="s">
        <v>412</v>
      </c>
      <c r="B15" s="44" t="n">
        <f aca="false">B14-B5</f>
        <v>84.8393281250003</v>
      </c>
    </row>
    <row r="16" customFormat="false" ht="15" hidden="false" customHeight="false" outlineLevel="0" collapsed="false">
      <c r="A16" s="42" t="s">
        <v>413</v>
      </c>
      <c r="B16" s="32" t="n">
        <f aca="false">B15/B5</f>
        <v>0.0848393281250003</v>
      </c>
    </row>
    <row r="17" customFormat="false" ht="15" hidden="false" customHeight="false" outlineLevel="0" collapsed="false">
      <c r="A17" s="42" t="s">
        <v>414</v>
      </c>
      <c r="B17" s="32" t="n">
        <f aca="false">1/((1-B7))-1</f>
        <v>0.176470588235294</v>
      </c>
    </row>
    <row r="18" customFormat="false" ht="15" hidden="false" customHeight="false" outlineLevel="0" collapsed="false">
      <c r="A18" s="42" t="s">
        <v>415</v>
      </c>
      <c r="B18" s="33" t="n">
        <f aca="false">IF(B8&lt;=0,"never",LN(1/(1-B7))/LN(1+B8))</f>
        <v>3.33097730381477</v>
      </c>
    </row>
    <row r="20" customFormat="false" ht="15" hidden="false" customHeight="true" outlineLevel="0" collapsed="false">
      <c r="A20" s="14" t="s">
        <v>416</v>
      </c>
      <c r="B20" s="14"/>
      <c r="C20" s="14"/>
      <c r="D20" s="14"/>
      <c r="E20" s="14"/>
      <c r="F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</row>
  </sheetData>
  <mergeCells count="10">
    <mergeCell ref="A1:F1"/>
    <mergeCell ref="A2:F2"/>
    <mergeCell ref="A4:F4"/>
    <mergeCell ref="C5:F5"/>
    <mergeCell ref="C6:F6"/>
    <mergeCell ref="C7:F7"/>
    <mergeCell ref="C8:F8"/>
    <mergeCell ref="C9:F9"/>
    <mergeCell ref="A11:F11"/>
    <mergeCell ref="A20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26"/>
  </cols>
  <sheetData>
    <row r="1" customFormat="false" ht="24" hidden="false" customHeight="true" outlineLevel="0" collapsed="false">
      <c r="A1" s="1" t="s">
        <v>417</v>
      </c>
      <c r="B1" s="1"/>
      <c r="C1" s="1"/>
      <c r="D1" s="1"/>
      <c r="E1" s="1"/>
    </row>
    <row r="2" customFormat="false" ht="13.5" hidden="false" customHeight="true" outlineLevel="0" collapsed="false">
      <c r="A2" s="2" t="s">
        <v>418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419</v>
      </c>
      <c r="B4" s="3"/>
      <c r="C4" s="3"/>
      <c r="D4" s="3"/>
      <c r="E4" s="3"/>
    </row>
    <row r="5" customFormat="false" ht="15" hidden="false" customHeight="false" outlineLevel="0" collapsed="false">
      <c r="A5" s="42" t="s">
        <v>50</v>
      </c>
      <c r="B5" s="45" t="n">
        <v>68.04</v>
      </c>
      <c r="C5" s="35" t="s">
        <v>420</v>
      </c>
      <c r="D5" s="35"/>
      <c r="E5" s="35"/>
    </row>
    <row r="6" customFormat="false" ht="15" hidden="false" customHeight="false" outlineLevel="0" collapsed="false">
      <c r="A6" s="42" t="s">
        <v>49</v>
      </c>
      <c r="B6" s="45" t="n">
        <v>4218.56</v>
      </c>
    </row>
    <row r="7" customFormat="false" ht="15" hidden="false" customHeight="false" outlineLevel="0" collapsed="false">
      <c r="A7" s="42" t="s">
        <v>51</v>
      </c>
      <c r="B7" s="45" t="n">
        <v>1717.67</v>
      </c>
    </row>
    <row r="9" customFormat="false" ht="19.5" hidden="false" customHeight="true" outlineLevel="0" collapsed="false">
      <c r="A9" s="3" t="s">
        <v>421</v>
      </c>
      <c r="B9" s="3"/>
      <c r="C9" s="3"/>
      <c r="D9" s="3"/>
      <c r="E9" s="3"/>
    </row>
    <row r="10" customFormat="false" ht="30" hidden="false" customHeight="true" outlineLevel="0" collapsed="false">
      <c r="A10" s="5" t="s">
        <v>422</v>
      </c>
      <c r="B10" s="5" t="s">
        <v>423</v>
      </c>
      <c r="C10" s="5" t="s">
        <v>424</v>
      </c>
      <c r="D10" s="5"/>
      <c r="E10" s="5" t="s">
        <v>344</v>
      </c>
    </row>
    <row r="11" customFormat="false" ht="15" hidden="false" customHeight="false" outlineLevel="0" collapsed="false">
      <c r="A11" s="6" t="s">
        <v>425</v>
      </c>
      <c r="B11" s="46" t="n">
        <v>0.715</v>
      </c>
      <c r="C11" s="47" t="n">
        <f aca="false">B11*$B$5</f>
        <v>48.6486</v>
      </c>
      <c r="E11" s="48" t="s">
        <v>426</v>
      </c>
    </row>
    <row r="12" customFormat="false" ht="15" hidden="false" customHeight="false" outlineLevel="0" collapsed="false">
      <c r="A12" s="9" t="s">
        <v>427</v>
      </c>
      <c r="B12" s="49" t="n">
        <v>0.7734</v>
      </c>
      <c r="C12" s="50" t="n">
        <f aca="false">B12*$B$5</f>
        <v>52.622136</v>
      </c>
      <c r="E12" s="48" t="s">
        <v>428</v>
      </c>
    </row>
    <row r="13" customFormat="false" ht="15" hidden="false" customHeight="false" outlineLevel="0" collapsed="false">
      <c r="A13" s="6" t="s">
        <v>429</v>
      </c>
      <c r="B13" s="46" t="n">
        <v>0.36169</v>
      </c>
      <c r="C13" s="47" t="n">
        <f aca="false">B13*$B$5</f>
        <v>24.6093876</v>
      </c>
      <c r="E13" s="48" t="s">
        <v>430</v>
      </c>
    </row>
    <row r="14" customFormat="false" ht="15" hidden="false" customHeight="false" outlineLevel="0" collapsed="false">
      <c r="A14" s="9" t="s">
        <v>431</v>
      </c>
      <c r="B14" s="49" t="n">
        <v>0.1479</v>
      </c>
      <c r="C14" s="50" t="n">
        <f aca="false">B14*$B$5</f>
        <v>10.063116</v>
      </c>
      <c r="E14" s="48" t="s">
        <v>432</v>
      </c>
    </row>
    <row r="15" customFormat="false" ht="15" hidden="false" customHeight="false" outlineLevel="0" collapsed="false">
      <c r="A15" s="6" t="s">
        <v>433</v>
      </c>
      <c r="B15" s="46" t="n">
        <v>0.17875</v>
      </c>
      <c r="C15" s="47" t="n">
        <f aca="false">B15*$B$5</f>
        <v>12.16215</v>
      </c>
      <c r="E15" s="48" t="s">
        <v>434</v>
      </c>
    </row>
    <row r="16" customFormat="false" ht="15" hidden="false" customHeight="false" outlineLevel="0" collapsed="false">
      <c r="A16" s="9" t="s">
        <v>435</v>
      </c>
      <c r="B16" s="49" t="n">
        <v>0.07234</v>
      </c>
      <c r="C16" s="50" t="n">
        <f aca="false">B16*$B$5</f>
        <v>4.9220136</v>
      </c>
      <c r="E16" s="48" t="s">
        <v>436</v>
      </c>
    </row>
    <row r="17" customFormat="false" ht="15" hidden="false" customHeight="false" outlineLevel="0" collapsed="false">
      <c r="A17" s="6" t="s">
        <v>437</v>
      </c>
      <c r="B17" s="46" t="n">
        <v>0.05626</v>
      </c>
      <c r="C17" s="47" t="n">
        <f aca="false">B17*$B$5</f>
        <v>3.8279304</v>
      </c>
      <c r="E17" s="48" t="s">
        <v>438</v>
      </c>
    </row>
    <row r="18" customFormat="false" ht="15" hidden="false" customHeight="false" outlineLevel="0" collapsed="false">
      <c r="A18" s="9" t="s">
        <v>439</v>
      </c>
      <c r="B18" s="49" t="n">
        <v>1</v>
      </c>
      <c r="C18" s="50" t="n">
        <f aca="false">B18*$B$5</f>
        <v>68.04</v>
      </c>
      <c r="E18" s="48" t="s">
        <v>440</v>
      </c>
    </row>
    <row r="19" customFormat="false" ht="15" hidden="false" customHeight="false" outlineLevel="0" collapsed="false">
      <c r="A19" s="6" t="s">
        <v>441</v>
      </c>
      <c r="B19" s="46" t="n">
        <v>1</v>
      </c>
      <c r="C19" s="47" t="n">
        <f aca="false">B19*$B$5</f>
        <v>68.04</v>
      </c>
      <c r="E19" s="48" t="s">
        <v>442</v>
      </c>
    </row>
    <row r="21" customFormat="false" ht="19.5" hidden="false" customHeight="true" outlineLevel="0" collapsed="false">
      <c r="A21" s="3" t="s">
        <v>443</v>
      </c>
      <c r="B21" s="3"/>
      <c r="C21" s="3"/>
      <c r="D21" s="3"/>
      <c r="E21" s="3"/>
    </row>
    <row r="22" customFormat="false" ht="30" hidden="false" customHeight="true" outlineLevel="0" collapsed="false">
      <c r="A22" s="5" t="s">
        <v>422</v>
      </c>
      <c r="B22" s="5" t="s">
        <v>444</v>
      </c>
      <c r="C22" s="5" t="s">
        <v>424</v>
      </c>
      <c r="D22" s="5"/>
      <c r="E22" s="5" t="s">
        <v>344</v>
      </c>
    </row>
    <row r="23" customFormat="false" ht="15" hidden="false" customHeight="false" outlineLevel="0" collapsed="false">
      <c r="A23" s="6" t="s">
        <v>445</v>
      </c>
      <c r="B23" s="46" t="n">
        <v>0.9675</v>
      </c>
      <c r="C23" s="47" t="n">
        <f aca="false">B23*$B$6</f>
        <v>4081.4568</v>
      </c>
      <c r="E23" s="48" t="s">
        <v>446</v>
      </c>
    </row>
    <row r="24" customFormat="false" ht="15" hidden="false" customHeight="false" outlineLevel="0" collapsed="false">
      <c r="A24" s="9" t="s">
        <v>447</v>
      </c>
      <c r="B24" s="49" t="n">
        <v>0.48375</v>
      </c>
      <c r="C24" s="50" t="n">
        <f aca="false">B24*$B$6</f>
        <v>2040.7284</v>
      </c>
      <c r="E24" s="48" t="s">
        <v>446</v>
      </c>
    </row>
    <row r="25" customFormat="false" ht="15" hidden="false" customHeight="false" outlineLevel="0" collapsed="false">
      <c r="A25" s="6" t="s">
        <v>448</v>
      </c>
      <c r="B25" s="46" t="n">
        <v>0.24187</v>
      </c>
      <c r="C25" s="47" t="n">
        <f aca="false">B25*$B$6</f>
        <v>1020.3431072</v>
      </c>
      <c r="E25" s="48" t="s">
        <v>446</v>
      </c>
    </row>
    <row r="26" customFormat="false" ht="15" hidden="false" customHeight="false" outlineLevel="0" collapsed="false">
      <c r="A26" s="9" t="s">
        <v>449</v>
      </c>
      <c r="B26" s="49" t="n">
        <v>0.12094</v>
      </c>
      <c r="C26" s="50" t="n">
        <f aca="false">B26*$B$6</f>
        <v>510.1926464</v>
      </c>
      <c r="E26" s="48" t="s">
        <v>446</v>
      </c>
    </row>
    <row r="27" customFormat="false" ht="15" hidden="false" customHeight="false" outlineLevel="0" collapsed="false">
      <c r="A27" s="6" t="s">
        <v>450</v>
      </c>
      <c r="B27" s="46" t="n">
        <v>1</v>
      </c>
      <c r="C27" s="47" t="n">
        <f aca="false">B27*$B$6</f>
        <v>4218.56</v>
      </c>
      <c r="E27" s="48" t="s">
        <v>451</v>
      </c>
    </row>
    <row r="28" customFormat="false" ht="15" hidden="false" customHeight="false" outlineLevel="0" collapsed="false">
      <c r="A28" s="9" t="s">
        <v>452</v>
      </c>
      <c r="B28" s="49" t="n">
        <v>1</v>
      </c>
      <c r="C28" s="50" t="n">
        <f aca="false">B28*$B$6</f>
        <v>4218.56</v>
      </c>
      <c r="E28" s="48" t="s">
        <v>453</v>
      </c>
    </row>
    <row r="30" customFormat="false" ht="25.5" hidden="false" customHeight="true" outlineLevel="0" collapsed="false">
      <c r="A30" s="14" t="s">
        <v>454</v>
      </c>
      <c r="B30" s="14"/>
      <c r="C30" s="14"/>
      <c r="D30" s="14"/>
      <c r="E30" s="14"/>
    </row>
    <row r="31" customFormat="false" ht="15" hidden="false" customHeight="false" outlineLevel="0" collapsed="false">
      <c r="A31" s="14"/>
      <c r="B31" s="14"/>
      <c r="C31" s="14"/>
      <c r="D31" s="14"/>
      <c r="E31" s="14"/>
    </row>
  </sheetData>
  <mergeCells count="7">
    <mergeCell ref="A1:E1"/>
    <mergeCell ref="A2:E2"/>
    <mergeCell ref="A4:E4"/>
    <mergeCell ref="C5:E5"/>
    <mergeCell ref="A9:E9"/>
    <mergeCell ref="A21:E21"/>
    <mergeCell ref="A30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26"/>
  </cols>
  <sheetData>
    <row r="1" customFormat="false" ht="24" hidden="false" customHeight="true" outlineLevel="0" collapsed="false">
      <c r="A1" s="1" t="s">
        <v>455</v>
      </c>
      <c r="B1" s="1"/>
      <c r="C1" s="1"/>
      <c r="D1" s="1"/>
      <c r="E1" s="1"/>
    </row>
    <row r="2" customFormat="false" ht="13.5" hidden="false" customHeight="true" outlineLevel="0" collapsed="false">
      <c r="A2" s="2" t="s">
        <v>456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457</v>
      </c>
      <c r="B4" s="3"/>
      <c r="C4" s="3"/>
      <c r="D4" s="3"/>
      <c r="E4" s="3"/>
    </row>
    <row r="5" customFormat="false" ht="30" hidden="false" customHeight="true" outlineLevel="0" collapsed="false">
      <c r="A5" s="5" t="s">
        <v>458</v>
      </c>
      <c r="B5" s="5" t="s">
        <v>459</v>
      </c>
      <c r="C5" s="5" t="s">
        <v>460</v>
      </c>
      <c r="D5" s="5"/>
      <c r="E5" s="5" t="s">
        <v>344</v>
      </c>
    </row>
    <row r="6" customFormat="false" ht="15" hidden="false" customHeight="false" outlineLevel="0" collapsed="false">
      <c r="A6" s="9" t="s">
        <v>461</v>
      </c>
      <c r="B6" s="51" t="n">
        <v>22</v>
      </c>
      <c r="C6" s="9" t="s">
        <v>462</v>
      </c>
      <c r="E6" s="48" t="s">
        <v>463</v>
      </c>
    </row>
    <row r="7" customFormat="false" ht="15" hidden="false" customHeight="false" outlineLevel="0" collapsed="false">
      <c r="A7" s="6" t="s">
        <v>464</v>
      </c>
      <c r="B7" s="43" t="n">
        <v>38</v>
      </c>
      <c r="C7" s="6" t="s">
        <v>465</v>
      </c>
      <c r="E7" s="48" t="s">
        <v>466</v>
      </c>
    </row>
    <row r="8" customFormat="false" ht="23.85" hidden="false" customHeight="false" outlineLevel="0" collapsed="false">
      <c r="A8" s="9" t="s">
        <v>467</v>
      </c>
      <c r="B8" s="51" t="n">
        <v>65</v>
      </c>
      <c r="C8" s="9" t="s">
        <v>468</v>
      </c>
      <c r="E8" s="48" t="s">
        <v>469</v>
      </c>
    </row>
    <row r="9" customFormat="false" ht="15" hidden="false" customHeight="false" outlineLevel="0" collapsed="false">
      <c r="A9" s="6" t="s">
        <v>470</v>
      </c>
      <c r="B9" s="43" t="n">
        <v>30</v>
      </c>
      <c r="C9" s="6" t="s">
        <v>471</v>
      </c>
      <c r="E9" s="48" t="s">
        <v>472</v>
      </c>
    </row>
    <row r="10" customFormat="false" ht="15" hidden="false" customHeight="false" outlineLevel="0" collapsed="false">
      <c r="A10" s="9" t="s">
        <v>473</v>
      </c>
      <c r="B10" s="51" t="n">
        <v>17</v>
      </c>
      <c r="C10" s="9" t="s">
        <v>474</v>
      </c>
      <c r="E10" s="48" t="s">
        <v>475</v>
      </c>
    </row>
    <row r="11" customFormat="false" ht="23.85" hidden="false" customHeight="false" outlineLevel="0" collapsed="false">
      <c r="A11" s="6" t="s">
        <v>476</v>
      </c>
      <c r="B11" s="43" t="n">
        <v>14</v>
      </c>
      <c r="C11" s="6" t="s">
        <v>477</v>
      </c>
      <c r="E11" s="48" t="s">
        <v>478</v>
      </c>
    </row>
    <row r="12" customFormat="false" ht="15" hidden="false" customHeight="false" outlineLevel="0" collapsed="false">
      <c r="A12" s="35" t="s">
        <v>479</v>
      </c>
      <c r="B12" s="35"/>
      <c r="C12" s="35"/>
      <c r="D12" s="35"/>
      <c r="E12" s="35"/>
    </row>
    <row r="14" customFormat="false" ht="19.5" hidden="false" customHeight="true" outlineLevel="0" collapsed="false">
      <c r="A14" s="3" t="s">
        <v>480</v>
      </c>
      <c r="B14" s="3"/>
      <c r="C14" s="3"/>
      <c r="D14" s="3"/>
      <c r="E14" s="3"/>
    </row>
    <row r="15" customFormat="false" ht="15" hidden="false" customHeight="false" outlineLevel="0" collapsed="false">
      <c r="A15" s="38" t="s">
        <v>481</v>
      </c>
      <c r="B15" s="39" t="n">
        <v>200</v>
      </c>
    </row>
    <row r="16" customFormat="false" ht="15" hidden="false" customHeight="false" outlineLevel="0" collapsed="false">
      <c r="A16" s="38" t="s">
        <v>482</v>
      </c>
      <c r="B16" s="39" t="n">
        <v>320</v>
      </c>
    </row>
    <row r="17" customFormat="false" ht="15" hidden="false" customHeight="false" outlineLevel="0" collapsed="false">
      <c r="A17" s="38" t="s">
        <v>483</v>
      </c>
      <c r="B17" s="39" t="n">
        <v>60</v>
      </c>
    </row>
    <row r="18" customFormat="false" ht="15" hidden="false" customHeight="false" outlineLevel="0" collapsed="false">
      <c r="A18" s="42" t="s">
        <v>484</v>
      </c>
      <c r="B18" s="44" t="n">
        <f aca="false">B16-B15</f>
        <v>120</v>
      </c>
    </row>
    <row r="19" customFormat="false" ht="15" hidden="false" customHeight="false" outlineLevel="0" collapsed="false">
      <c r="A19" s="42" t="s">
        <v>485</v>
      </c>
      <c r="B19" s="43" t="n">
        <f aca="false">3*B17</f>
        <v>180</v>
      </c>
    </row>
    <row r="20" customFormat="false" ht="15" hidden="false" customHeight="false" outlineLevel="0" collapsed="false">
      <c r="A20" s="42" t="s">
        <v>486</v>
      </c>
      <c r="B20" s="52" t="str">
        <f aca="false">IF(B18&gt;=B19,"GRADE","DO NOT GRADE")</f>
        <v>DO NOT GRADE</v>
      </c>
    </row>
    <row r="21" customFormat="false" ht="15" hidden="false" customHeight="true" outlineLevel="0" collapsed="false">
      <c r="A21" s="14" t="s">
        <v>487</v>
      </c>
      <c r="B21" s="14"/>
      <c r="C21" s="14"/>
      <c r="D21" s="14"/>
      <c r="E21" s="14"/>
    </row>
    <row r="22" customFormat="false" ht="15" hidden="false" customHeight="false" outlineLevel="0" collapsed="false">
      <c r="A22" s="14"/>
      <c r="B22" s="14"/>
      <c r="C22" s="14"/>
      <c r="D22" s="14"/>
      <c r="E22" s="14"/>
    </row>
  </sheetData>
  <mergeCells count="6">
    <mergeCell ref="A1:E1"/>
    <mergeCell ref="A2:E2"/>
    <mergeCell ref="A4:E4"/>
    <mergeCell ref="A12:E12"/>
    <mergeCell ref="A14:E14"/>
    <mergeCell ref="A21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4" min="3" style="0" width="26"/>
    <col collapsed="false" customWidth="true" hidden="false" outlineLevel="0" max="5" min="5" style="0" width="28"/>
  </cols>
  <sheetData>
    <row r="1" customFormat="false" ht="24" hidden="false" customHeight="true" outlineLevel="0" collapsed="false">
      <c r="A1" s="1" t="s">
        <v>488</v>
      </c>
      <c r="B1" s="1"/>
      <c r="C1" s="1"/>
      <c r="D1" s="1"/>
      <c r="E1" s="1"/>
    </row>
    <row r="2" customFormat="false" ht="13.5" hidden="false" customHeight="true" outlineLevel="0" collapsed="false">
      <c r="A2" s="2" t="s">
        <v>489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490</v>
      </c>
      <c r="B4" s="3"/>
      <c r="C4" s="3"/>
      <c r="D4" s="3"/>
      <c r="E4" s="3"/>
    </row>
    <row r="5" customFormat="false" ht="30" hidden="false" customHeight="true" outlineLevel="0" collapsed="false">
      <c r="A5" s="5" t="s">
        <v>491</v>
      </c>
      <c r="B5" s="5" t="s">
        <v>492</v>
      </c>
      <c r="C5" s="5" t="s">
        <v>493</v>
      </c>
      <c r="D5" s="5" t="s">
        <v>494</v>
      </c>
      <c r="E5" s="5" t="s">
        <v>495</v>
      </c>
    </row>
    <row r="6" customFormat="false" ht="25.5" hidden="false" customHeight="true" outlineLevel="0" collapsed="false">
      <c r="A6" s="10" t="s">
        <v>496</v>
      </c>
      <c r="B6" s="9" t="s">
        <v>497</v>
      </c>
      <c r="C6" s="9" t="s">
        <v>498</v>
      </c>
      <c r="D6" s="9" t="s">
        <v>499</v>
      </c>
      <c r="E6" s="9" t="s">
        <v>500</v>
      </c>
    </row>
    <row r="7" customFormat="false" ht="25.5" hidden="false" customHeight="true" outlineLevel="0" collapsed="false">
      <c r="A7" s="7" t="s">
        <v>501</v>
      </c>
      <c r="B7" s="6" t="s">
        <v>502</v>
      </c>
      <c r="C7" s="6" t="s">
        <v>503</v>
      </c>
      <c r="D7" s="6" t="s">
        <v>504</v>
      </c>
      <c r="E7" s="6" t="s">
        <v>505</v>
      </c>
    </row>
    <row r="8" customFormat="false" ht="25.5" hidden="false" customHeight="true" outlineLevel="0" collapsed="false">
      <c r="A8" s="10" t="s">
        <v>506</v>
      </c>
      <c r="B8" s="9" t="s">
        <v>502</v>
      </c>
      <c r="C8" s="9" t="s">
        <v>507</v>
      </c>
      <c r="D8" s="9" t="s">
        <v>508</v>
      </c>
      <c r="E8" s="9" t="s">
        <v>509</v>
      </c>
    </row>
    <row r="9" customFormat="false" ht="25.5" hidden="false" customHeight="true" outlineLevel="0" collapsed="false">
      <c r="A9" s="7" t="s">
        <v>510</v>
      </c>
      <c r="B9" s="6" t="s">
        <v>502</v>
      </c>
      <c r="C9" s="6" t="s">
        <v>511</v>
      </c>
      <c r="D9" s="6" t="s">
        <v>512</v>
      </c>
      <c r="E9" s="6" t="s">
        <v>513</v>
      </c>
    </row>
    <row r="10" customFormat="false" ht="25.5" hidden="false" customHeight="true" outlineLevel="0" collapsed="false">
      <c r="A10" s="10" t="s">
        <v>514</v>
      </c>
      <c r="B10" s="9" t="s">
        <v>515</v>
      </c>
      <c r="C10" s="9" t="s">
        <v>516</v>
      </c>
      <c r="D10" s="9" t="s">
        <v>512</v>
      </c>
      <c r="E10" s="9" t="s">
        <v>517</v>
      </c>
    </row>
    <row r="11" customFormat="false" ht="25.5" hidden="false" customHeight="true" outlineLevel="0" collapsed="false">
      <c r="A11" s="7" t="s">
        <v>518</v>
      </c>
      <c r="B11" s="6" t="s">
        <v>502</v>
      </c>
      <c r="C11" s="6" t="s">
        <v>519</v>
      </c>
      <c r="D11" s="6" t="s">
        <v>520</v>
      </c>
      <c r="E11" s="6" t="s">
        <v>521</v>
      </c>
    </row>
    <row r="13" customFormat="false" ht="19.5" hidden="false" customHeight="true" outlineLevel="0" collapsed="false">
      <c r="A13" s="3" t="s">
        <v>522</v>
      </c>
      <c r="B13" s="3"/>
      <c r="C13" s="3"/>
      <c r="D13" s="3"/>
      <c r="E13" s="3"/>
    </row>
    <row r="14" customFormat="false" ht="30" hidden="false" customHeight="true" outlineLevel="0" collapsed="false">
      <c r="A14" s="5" t="s">
        <v>491</v>
      </c>
      <c r="B14" s="5" t="s">
        <v>492</v>
      </c>
      <c r="C14" s="5" t="s">
        <v>493</v>
      </c>
      <c r="D14" s="5" t="s">
        <v>494</v>
      </c>
      <c r="E14" s="5" t="s">
        <v>344</v>
      </c>
    </row>
    <row r="15" customFormat="false" ht="25.5" hidden="false" customHeight="true" outlineLevel="0" collapsed="false">
      <c r="A15" s="7" t="s">
        <v>523</v>
      </c>
      <c r="B15" s="6" t="s">
        <v>524</v>
      </c>
      <c r="C15" s="6" t="s">
        <v>525</v>
      </c>
      <c r="D15" s="6" t="s">
        <v>526</v>
      </c>
      <c r="E15" s="6" t="s">
        <v>527</v>
      </c>
    </row>
    <row r="16" customFormat="false" ht="25.5" hidden="false" customHeight="true" outlineLevel="0" collapsed="false">
      <c r="A16" s="10" t="s">
        <v>528</v>
      </c>
      <c r="B16" s="9" t="s">
        <v>529</v>
      </c>
      <c r="C16" s="9" t="s">
        <v>530</v>
      </c>
      <c r="D16" s="9" t="s">
        <v>531</v>
      </c>
      <c r="E16" s="9" t="s">
        <v>532</v>
      </c>
    </row>
    <row r="17" customFormat="false" ht="25.5" hidden="false" customHeight="true" outlineLevel="0" collapsed="false">
      <c r="A17" s="7" t="s">
        <v>533</v>
      </c>
      <c r="B17" s="6" t="s">
        <v>502</v>
      </c>
      <c r="C17" s="6" t="s">
        <v>534</v>
      </c>
      <c r="D17" s="6" t="s">
        <v>504</v>
      </c>
      <c r="E17" s="6" t="s">
        <v>535</v>
      </c>
    </row>
    <row r="18" customFormat="false" ht="25.5" hidden="false" customHeight="true" outlineLevel="0" collapsed="false">
      <c r="A18" s="10" t="s">
        <v>536</v>
      </c>
      <c r="B18" s="9" t="s">
        <v>537</v>
      </c>
      <c r="C18" s="9" t="s">
        <v>538</v>
      </c>
      <c r="D18" s="9" t="s">
        <v>512</v>
      </c>
      <c r="E18" s="9" t="s">
        <v>539</v>
      </c>
    </row>
    <row r="19" customFormat="false" ht="25.5" hidden="false" customHeight="true" outlineLevel="0" collapsed="false">
      <c r="A19" s="7" t="s">
        <v>540</v>
      </c>
      <c r="B19" s="6" t="s">
        <v>537</v>
      </c>
      <c r="C19" s="6" t="s">
        <v>541</v>
      </c>
      <c r="D19" s="6" t="s">
        <v>531</v>
      </c>
      <c r="E19" s="6" t="s">
        <v>542</v>
      </c>
    </row>
    <row r="20" customFormat="false" ht="25.5" hidden="false" customHeight="true" outlineLevel="0" collapsed="false">
      <c r="A20" s="10" t="s">
        <v>543</v>
      </c>
      <c r="B20" s="9" t="s">
        <v>502</v>
      </c>
      <c r="C20" s="9" t="s">
        <v>544</v>
      </c>
      <c r="D20" s="9" t="s">
        <v>512</v>
      </c>
      <c r="E20" s="9" t="s">
        <v>545</v>
      </c>
    </row>
    <row r="22" customFormat="false" ht="25.5" hidden="false" customHeight="true" outlineLevel="0" collapsed="false">
      <c r="A22" s="14" t="s">
        <v>546</v>
      </c>
      <c r="B22" s="14"/>
      <c r="C22" s="14"/>
      <c r="D22" s="14"/>
      <c r="E22" s="14"/>
    </row>
  </sheetData>
  <mergeCells count="5">
    <mergeCell ref="A1:E1"/>
    <mergeCell ref="A2:E2"/>
    <mergeCell ref="A4:E4"/>
    <mergeCell ref="A13:E13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30"/>
  </cols>
  <sheetData>
    <row r="1" customFormat="false" ht="24" hidden="false" customHeight="true" outlineLevel="0" collapsed="false">
      <c r="A1" s="1" t="s">
        <v>547</v>
      </c>
      <c r="B1" s="1"/>
      <c r="C1" s="1"/>
      <c r="D1" s="1"/>
      <c r="E1" s="1"/>
    </row>
    <row r="2" customFormat="false" ht="13.5" hidden="false" customHeight="true" outlineLevel="0" collapsed="false">
      <c r="A2" s="2" t="s">
        <v>548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549</v>
      </c>
      <c r="B4" s="3"/>
      <c r="C4" s="3"/>
      <c r="D4" s="3"/>
      <c r="E4" s="3"/>
    </row>
    <row r="5" customFormat="false" ht="30" hidden="false" customHeight="true" outlineLevel="0" collapsed="false">
      <c r="A5" s="5" t="s">
        <v>491</v>
      </c>
      <c r="B5" s="5" t="s">
        <v>550</v>
      </c>
      <c r="C5" s="5" t="s">
        <v>551</v>
      </c>
      <c r="D5" s="5" t="s">
        <v>552</v>
      </c>
      <c r="E5" s="5" t="s">
        <v>344</v>
      </c>
    </row>
    <row r="6" customFormat="false" ht="24" hidden="false" customHeight="true" outlineLevel="0" collapsed="false">
      <c r="A6" s="10" t="s">
        <v>553</v>
      </c>
      <c r="B6" s="9" t="s">
        <v>554</v>
      </c>
      <c r="C6" s="9" t="s">
        <v>555</v>
      </c>
      <c r="D6" s="9" t="s">
        <v>556</v>
      </c>
      <c r="E6" s="9" t="s">
        <v>557</v>
      </c>
    </row>
    <row r="7" customFormat="false" ht="24" hidden="false" customHeight="true" outlineLevel="0" collapsed="false">
      <c r="A7" s="7" t="s">
        <v>558</v>
      </c>
      <c r="B7" s="6" t="s">
        <v>554</v>
      </c>
      <c r="C7" s="6" t="s">
        <v>559</v>
      </c>
      <c r="D7" s="6" t="s">
        <v>556</v>
      </c>
      <c r="E7" s="6" t="s">
        <v>560</v>
      </c>
    </row>
    <row r="8" customFormat="false" ht="24" hidden="false" customHeight="true" outlineLevel="0" collapsed="false">
      <c r="A8" s="10" t="s">
        <v>561</v>
      </c>
      <c r="B8" s="9" t="s">
        <v>554</v>
      </c>
      <c r="C8" s="9" t="s">
        <v>562</v>
      </c>
      <c r="D8" s="9" t="s">
        <v>556</v>
      </c>
      <c r="E8" s="9" t="s">
        <v>563</v>
      </c>
    </row>
    <row r="9" customFormat="false" ht="24" hidden="false" customHeight="true" outlineLevel="0" collapsed="false">
      <c r="A9" s="7" t="s">
        <v>564</v>
      </c>
      <c r="B9" s="6" t="s">
        <v>554</v>
      </c>
      <c r="C9" s="6" t="s">
        <v>555</v>
      </c>
      <c r="D9" s="6" t="s">
        <v>556</v>
      </c>
      <c r="E9" s="6" t="s">
        <v>565</v>
      </c>
    </row>
    <row r="11" customFormat="false" ht="19.5" hidden="false" customHeight="true" outlineLevel="0" collapsed="false">
      <c r="A11" s="3" t="s">
        <v>566</v>
      </c>
      <c r="B11" s="3"/>
      <c r="C11" s="3"/>
      <c r="D11" s="3"/>
      <c r="E11" s="3"/>
    </row>
    <row r="12" customFormat="false" ht="30" hidden="false" customHeight="true" outlineLevel="0" collapsed="false">
      <c r="A12" s="5" t="s">
        <v>491</v>
      </c>
      <c r="B12" s="5" t="s">
        <v>550</v>
      </c>
      <c r="C12" s="5" t="s">
        <v>551</v>
      </c>
      <c r="D12" s="5" t="s">
        <v>567</v>
      </c>
      <c r="E12" s="5" t="s">
        <v>344</v>
      </c>
    </row>
    <row r="13" customFormat="false" ht="24" hidden="false" customHeight="true" outlineLevel="0" collapsed="false">
      <c r="A13" s="7" t="s">
        <v>568</v>
      </c>
      <c r="B13" s="6" t="s">
        <v>569</v>
      </c>
      <c r="C13" s="6" t="s">
        <v>570</v>
      </c>
      <c r="D13" s="6" t="s">
        <v>571</v>
      </c>
      <c r="E13" s="6" t="s">
        <v>572</v>
      </c>
    </row>
    <row r="14" customFormat="false" ht="24" hidden="false" customHeight="true" outlineLevel="0" collapsed="false">
      <c r="A14" s="10" t="s">
        <v>573</v>
      </c>
      <c r="B14" s="9" t="s">
        <v>569</v>
      </c>
      <c r="C14" s="9" t="s">
        <v>574</v>
      </c>
      <c r="D14" s="9" t="s">
        <v>575</v>
      </c>
      <c r="E14" s="9" t="s">
        <v>576</v>
      </c>
    </row>
    <row r="15" customFormat="false" ht="24" hidden="false" customHeight="true" outlineLevel="0" collapsed="false">
      <c r="A15" s="7" t="s">
        <v>577</v>
      </c>
      <c r="B15" s="6" t="s">
        <v>569</v>
      </c>
      <c r="C15" s="6" t="s">
        <v>578</v>
      </c>
      <c r="D15" s="6" t="s">
        <v>579</v>
      </c>
      <c r="E15" s="6" t="s">
        <v>580</v>
      </c>
    </row>
    <row r="16" customFormat="false" ht="24" hidden="false" customHeight="true" outlineLevel="0" collapsed="false">
      <c r="A16" s="10" t="s">
        <v>581</v>
      </c>
      <c r="B16" s="9" t="s">
        <v>582</v>
      </c>
      <c r="C16" s="9" t="s">
        <v>583</v>
      </c>
      <c r="D16" s="9" t="s">
        <v>584</v>
      </c>
      <c r="E16" s="9" t="s">
        <v>585</v>
      </c>
    </row>
    <row r="17" customFormat="false" ht="24" hidden="false" customHeight="true" outlineLevel="0" collapsed="false">
      <c r="A17" s="7" t="s">
        <v>586</v>
      </c>
      <c r="B17" s="6" t="s">
        <v>569</v>
      </c>
      <c r="C17" s="6" t="s">
        <v>587</v>
      </c>
      <c r="D17" s="6" t="s">
        <v>588</v>
      </c>
      <c r="E17" s="6" t="s">
        <v>589</v>
      </c>
    </row>
    <row r="19" customFormat="false" ht="19.5" hidden="false" customHeight="true" outlineLevel="0" collapsed="false">
      <c r="A19" s="3" t="s">
        <v>590</v>
      </c>
      <c r="B19" s="3"/>
      <c r="C19" s="3"/>
      <c r="D19" s="3"/>
      <c r="E19" s="3"/>
    </row>
    <row r="20" customFormat="false" ht="30" hidden="false" customHeight="true" outlineLevel="0" collapsed="false">
      <c r="A20" s="5" t="s">
        <v>491</v>
      </c>
      <c r="B20" s="5" t="s">
        <v>550</v>
      </c>
      <c r="C20" s="5" t="s">
        <v>591</v>
      </c>
      <c r="D20" s="5" t="s">
        <v>380</v>
      </c>
      <c r="E20" s="5" t="s">
        <v>344</v>
      </c>
    </row>
    <row r="21" customFormat="false" ht="24" hidden="false" customHeight="true" outlineLevel="0" collapsed="false">
      <c r="A21" s="7" t="s">
        <v>592</v>
      </c>
      <c r="B21" s="6" t="s">
        <v>593</v>
      </c>
      <c r="C21" s="6" t="s">
        <v>594</v>
      </c>
      <c r="D21" s="6" t="s">
        <v>595</v>
      </c>
      <c r="E21" s="6" t="s">
        <v>596</v>
      </c>
    </row>
    <row r="22" customFormat="false" ht="24" hidden="false" customHeight="true" outlineLevel="0" collapsed="false">
      <c r="A22" s="10" t="s">
        <v>597</v>
      </c>
      <c r="B22" s="9" t="s">
        <v>593</v>
      </c>
      <c r="C22" s="9" t="s">
        <v>598</v>
      </c>
      <c r="D22" s="9" t="s">
        <v>599</v>
      </c>
      <c r="E22" s="9" t="s">
        <v>600</v>
      </c>
    </row>
    <row r="23" customFormat="false" ht="24" hidden="false" customHeight="true" outlineLevel="0" collapsed="false">
      <c r="A23" s="7" t="s">
        <v>601</v>
      </c>
      <c r="B23" s="6" t="s">
        <v>602</v>
      </c>
      <c r="C23" s="6" t="s">
        <v>603</v>
      </c>
      <c r="D23" s="6" t="s">
        <v>604</v>
      </c>
      <c r="E23" s="6" t="s">
        <v>605</v>
      </c>
    </row>
    <row r="24" customFormat="false" ht="24" hidden="false" customHeight="true" outlineLevel="0" collapsed="false">
      <c r="A24" s="10" t="s">
        <v>606</v>
      </c>
      <c r="B24" s="9" t="s">
        <v>602</v>
      </c>
      <c r="C24" s="9" t="s">
        <v>607</v>
      </c>
      <c r="D24" s="9" t="s">
        <v>608</v>
      </c>
      <c r="E24" s="9" t="s">
        <v>609</v>
      </c>
    </row>
    <row r="25" customFormat="false" ht="24" hidden="false" customHeight="true" outlineLevel="0" collapsed="false">
      <c r="A25" s="7" t="s">
        <v>610</v>
      </c>
      <c r="B25" s="6" t="s">
        <v>602</v>
      </c>
      <c r="C25" s="6" t="s">
        <v>611</v>
      </c>
      <c r="D25" s="6" t="s">
        <v>612</v>
      </c>
      <c r="E25" s="6" t="s">
        <v>613</v>
      </c>
    </row>
    <row r="26" customFormat="false" ht="24" hidden="false" customHeight="true" outlineLevel="0" collapsed="false">
      <c r="A26" s="10" t="s">
        <v>614</v>
      </c>
      <c r="B26" s="9" t="s">
        <v>615</v>
      </c>
      <c r="C26" s="9" t="s">
        <v>616</v>
      </c>
      <c r="D26" s="9" t="s">
        <v>598</v>
      </c>
      <c r="E26" s="9" t="s">
        <v>617</v>
      </c>
    </row>
    <row r="28" customFormat="false" ht="15" hidden="false" customHeight="true" outlineLevel="0" collapsed="false">
      <c r="A28" s="14" t="s">
        <v>618</v>
      </c>
      <c r="B28" s="14"/>
      <c r="C28" s="14"/>
      <c r="D28" s="14"/>
      <c r="E28" s="14"/>
    </row>
  </sheetData>
  <mergeCells count="6">
    <mergeCell ref="A1:E1"/>
    <mergeCell ref="A2:E2"/>
    <mergeCell ref="A4:E4"/>
    <mergeCell ref="A11:E11"/>
    <mergeCell ref="A19:E19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30"/>
  </cols>
  <sheetData>
    <row r="1" customFormat="false" ht="24" hidden="false" customHeight="true" outlineLevel="0" collapsed="false">
      <c r="A1" s="1" t="s">
        <v>619</v>
      </c>
      <c r="B1" s="1"/>
      <c r="C1" s="1"/>
      <c r="D1" s="1"/>
      <c r="E1" s="1"/>
    </row>
    <row r="2" customFormat="false" ht="13.5" hidden="false" customHeight="true" outlineLevel="0" collapsed="false">
      <c r="A2" s="2" t="s">
        <v>620</v>
      </c>
      <c r="B2" s="2"/>
      <c r="C2" s="2"/>
      <c r="D2" s="2"/>
      <c r="E2" s="2"/>
    </row>
    <row r="4" customFormat="false" ht="30" hidden="false" customHeight="true" outlineLevel="0" collapsed="false">
      <c r="A4" s="5" t="s">
        <v>621</v>
      </c>
      <c r="B4" s="5" t="s">
        <v>622</v>
      </c>
      <c r="C4" s="5" t="s">
        <v>623</v>
      </c>
      <c r="D4" s="5" t="s">
        <v>624</v>
      </c>
      <c r="E4" s="5" t="s">
        <v>495</v>
      </c>
    </row>
    <row r="5" customFormat="false" ht="27.75" hidden="false" customHeight="true" outlineLevel="0" collapsed="false">
      <c r="A5" s="7" t="s">
        <v>625</v>
      </c>
      <c r="B5" s="6" t="s">
        <v>626</v>
      </c>
      <c r="C5" s="6" t="s">
        <v>627</v>
      </c>
      <c r="D5" s="6" t="s">
        <v>628</v>
      </c>
      <c r="E5" s="6" t="s">
        <v>629</v>
      </c>
    </row>
    <row r="6" customFormat="false" ht="27.75" hidden="false" customHeight="true" outlineLevel="0" collapsed="false">
      <c r="A6" s="10" t="s">
        <v>630</v>
      </c>
      <c r="B6" s="9" t="s">
        <v>631</v>
      </c>
      <c r="C6" s="9" t="s">
        <v>632</v>
      </c>
      <c r="D6" s="9" t="s">
        <v>633</v>
      </c>
      <c r="E6" s="9" t="s">
        <v>634</v>
      </c>
    </row>
    <row r="7" customFormat="false" ht="27.75" hidden="false" customHeight="true" outlineLevel="0" collapsed="false">
      <c r="A7" s="7" t="s">
        <v>635</v>
      </c>
      <c r="B7" s="6" t="s">
        <v>636</v>
      </c>
      <c r="C7" s="6" t="s">
        <v>637</v>
      </c>
      <c r="D7" s="6" t="s">
        <v>633</v>
      </c>
      <c r="E7" s="6" t="s">
        <v>638</v>
      </c>
    </row>
    <row r="8" customFormat="false" ht="27.75" hidden="false" customHeight="true" outlineLevel="0" collapsed="false">
      <c r="A8" s="10" t="s">
        <v>639</v>
      </c>
      <c r="B8" s="9" t="s">
        <v>640</v>
      </c>
      <c r="C8" s="9" t="s">
        <v>641</v>
      </c>
      <c r="D8" s="9" t="s">
        <v>633</v>
      </c>
      <c r="E8" s="9" t="s">
        <v>642</v>
      </c>
    </row>
    <row r="9" customFormat="false" ht="27.75" hidden="false" customHeight="true" outlineLevel="0" collapsed="false">
      <c r="A9" s="7" t="s">
        <v>643</v>
      </c>
      <c r="B9" s="6" t="s">
        <v>644</v>
      </c>
      <c r="C9" s="6" t="s">
        <v>645</v>
      </c>
      <c r="D9" s="6" t="s">
        <v>646</v>
      </c>
      <c r="E9" s="6" t="s">
        <v>647</v>
      </c>
    </row>
    <row r="10" customFormat="false" ht="27.75" hidden="false" customHeight="true" outlineLevel="0" collapsed="false">
      <c r="A10" s="10" t="s">
        <v>648</v>
      </c>
      <c r="B10" s="9" t="s">
        <v>649</v>
      </c>
      <c r="C10" s="9" t="s">
        <v>650</v>
      </c>
      <c r="D10" s="9" t="s">
        <v>651</v>
      </c>
      <c r="E10" s="9" t="s">
        <v>652</v>
      </c>
    </row>
    <row r="12" customFormat="false" ht="27.75" hidden="false" customHeight="true" outlineLevel="0" collapsed="false">
      <c r="A12" s="14" t="s">
        <v>653</v>
      </c>
      <c r="B12" s="14"/>
      <c r="C12" s="14"/>
      <c r="D12" s="14"/>
      <c r="E12" s="14"/>
    </row>
    <row r="13" customFormat="false" ht="15" hidden="false" customHeight="false" outlineLevel="0" collapsed="false">
      <c r="A13" s="14"/>
      <c r="B13" s="14"/>
      <c r="C13" s="14"/>
      <c r="D13" s="14"/>
      <c r="E13" s="14"/>
    </row>
  </sheetData>
  <mergeCells count="3">
    <mergeCell ref="A1:E1"/>
    <mergeCell ref="A2:E2"/>
    <mergeCell ref="A12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5" min="4" style="0" width="18"/>
    <col collapsed="false" customWidth="true" hidden="false" outlineLevel="0" max="6" min="6" style="0" width="20"/>
  </cols>
  <sheetData>
    <row r="1" customFormat="false" ht="24" hidden="false" customHeight="true" outlineLevel="0" collapsed="false">
      <c r="A1" s="1" t="s">
        <v>654</v>
      </c>
      <c r="B1" s="1"/>
      <c r="C1" s="1"/>
      <c r="D1" s="1"/>
      <c r="E1" s="1"/>
      <c r="F1" s="1"/>
    </row>
    <row r="2" customFormat="false" ht="13.5" hidden="false" customHeight="true" outlineLevel="0" collapsed="false">
      <c r="A2" s="2" t="s">
        <v>655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8" t="s">
        <v>656</v>
      </c>
      <c r="B4" s="39" t="n">
        <v>10000</v>
      </c>
    </row>
    <row r="6" customFormat="false" ht="19.5" hidden="false" customHeight="true" outlineLevel="0" collapsed="false">
      <c r="A6" s="3" t="s">
        <v>657</v>
      </c>
      <c r="B6" s="3"/>
      <c r="C6" s="3"/>
      <c r="D6" s="3"/>
      <c r="E6" s="3"/>
      <c r="F6" s="3"/>
    </row>
    <row r="7" customFormat="false" ht="30" hidden="false" customHeight="true" outlineLevel="0" collapsed="false">
      <c r="A7" s="5" t="s">
        <v>491</v>
      </c>
      <c r="B7" s="5" t="s">
        <v>588</v>
      </c>
      <c r="C7" s="5" t="s">
        <v>658</v>
      </c>
      <c r="D7" s="5"/>
      <c r="E7" s="5"/>
      <c r="F7" s="5" t="s">
        <v>344</v>
      </c>
    </row>
    <row r="8" customFormat="false" ht="15" hidden="false" customHeight="false" outlineLevel="0" collapsed="false">
      <c r="A8" s="10" t="s">
        <v>659</v>
      </c>
      <c r="B8" s="28" t="n">
        <v>0.22</v>
      </c>
      <c r="C8" s="51" t="n">
        <f aca="false">$B$4*(1+B8)</f>
        <v>12200</v>
      </c>
      <c r="F8" s="48" t="s">
        <v>660</v>
      </c>
    </row>
    <row r="9" customFormat="false" ht="15" hidden="false" customHeight="false" outlineLevel="0" collapsed="false">
      <c r="A9" s="7" t="s">
        <v>573</v>
      </c>
      <c r="B9" s="32" t="n">
        <v>0.2</v>
      </c>
      <c r="C9" s="43" t="n">
        <f aca="false">$B$4*(1+B9)</f>
        <v>12000</v>
      </c>
      <c r="F9" s="48" t="s">
        <v>661</v>
      </c>
    </row>
    <row r="10" customFormat="false" ht="15" hidden="false" customHeight="false" outlineLevel="0" collapsed="false">
      <c r="A10" s="10" t="s">
        <v>577</v>
      </c>
      <c r="B10" s="28" t="n">
        <v>0.1</v>
      </c>
      <c r="C10" s="51" t="n">
        <f aca="false">$B$4*(1+B10)</f>
        <v>11000</v>
      </c>
      <c r="F10" s="48" t="s">
        <v>662</v>
      </c>
    </row>
    <row r="11" customFormat="false" ht="15" hidden="false" customHeight="false" outlineLevel="0" collapsed="false">
      <c r="A11" s="7" t="s">
        <v>663</v>
      </c>
      <c r="B11" s="32" t="n">
        <v>0</v>
      </c>
      <c r="C11" s="43" t="n">
        <f aca="false">$B$4*(1+B11)</f>
        <v>10000</v>
      </c>
      <c r="F11" s="48" t="s">
        <v>664</v>
      </c>
    </row>
    <row r="13" customFormat="false" ht="19.5" hidden="false" customHeight="true" outlineLevel="0" collapsed="false">
      <c r="A13" s="3" t="s">
        <v>665</v>
      </c>
      <c r="B13" s="3"/>
      <c r="C13" s="3"/>
      <c r="D13" s="3"/>
      <c r="E13" s="3"/>
      <c r="F13" s="3"/>
    </row>
    <row r="14" customFormat="false" ht="30" hidden="false" customHeight="true" outlineLevel="0" collapsed="false">
      <c r="A14" s="5" t="s">
        <v>491</v>
      </c>
      <c r="B14" s="5" t="s">
        <v>666</v>
      </c>
      <c r="C14" s="5" t="s">
        <v>667</v>
      </c>
      <c r="D14" s="5"/>
      <c r="E14" s="5"/>
      <c r="F14" s="5" t="s">
        <v>344</v>
      </c>
    </row>
    <row r="15" customFormat="false" ht="15" hidden="false" customHeight="false" outlineLevel="0" collapsed="false">
      <c r="A15" s="7" t="s">
        <v>668</v>
      </c>
      <c r="B15" s="32" t="n">
        <v>0.1</v>
      </c>
      <c r="C15" s="43" t="n">
        <f aca="false">$B$4*(1-B15)</f>
        <v>9000</v>
      </c>
      <c r="F15" s="48" t="s">
        <v>669</v>
      </c>
    </row>
    <row r="16" customFormat="false" ht="15" hidden="false" customHeight="false" outlineLevel="0" collapsed="false">
      <c r="A16" s="10" t="s">
        <v>573</v>
      </c>
      <c r="B16" s="28" t="n">
        <v>0.1</v>
      </c>
      <c r="C16" s="51" t="n">
        <f aca="false">$B$4*(1-B16)</f>
        <v>9000</v>
      </c>
      <c r="F16" s="48" t="s">
        <v>670</v>
      </c>
    </row>
    <row r="17" customFormat="false" ht="15" hidden="false" customHeight="false" outlineLevel="0" collapsed="false">
      <c r="A17" s="7" t="s">
        <v>577</v>
      </c>
      <c r="B17" s="32" t="n">
        <v>0</v>
      </c>
      <c r="C17" s="43" t="n">
        <f aca="false">$B$4*(1-B17)</f>
        <v>10000</v>
      </c>
      <c r="F17" s="48" t="s">
        <v>671</v>
      </c>
    </row>
    <row r="18" customFormat="false" ht="15" hidden="false" customHeight="false" outlineLevel="0" collapsed="false">
      <c r="A18" s="10" t="s">
        <v>672</v>
      </c>
      <c r="B18" s="28" t="n">
        <v>0.13</v>
      </c>
      <c r="C18" s="51" t="n">
        <f aca="false">$B$4*(1-B18)</f>
        <v>8700</v>
      </c>
      <c r="F18" s="48" t="s">
        <v>673</v>
      </c>
    </row>
    <row r="20" customFormat="false" ht="19.5" hidden="false" customHeight="true" outlineLevel="0" collapsed="false">
      <c r="A20" s="3" t="s">
        <v>674</v>
      </c>
      <c r="B20" s="3"/>
      <c r="C20" s="3"/>
      <c r="D20" s="3"/>
      <c r="E20" s="3"/>
      <c r="F20" s="3"/>
    </row>
    <row r="21" customFormat="false" ht="15" hidden="false" customHeight="false" outlineLevel="0" collapsed="false">
      <c r="A21" s="53" t="s">
        <v>675</v>
      </c>
      <c r="B21" s="53"/>
      <c r="C21" s="53"/>
      <c r="D21" s="53"/>
      <c r="E21" s="53"/>
      <c r="F21" s="53"/>
    </row>
    <row r="22" customFormat="false" ht="15" hidden="false" customHeight="false" outlineLevel="0" collapsed="false">
      <c r="A22" s="42" t="s">
        <v>676</v>
      </c>
      <c r="B22" s="43" t="n">
        <f aca="false">$B$4*1.22</f>
        <v>12200</v>
      </c>
    </row>
    <row r="23" customFormat="false" ht="15" hidden="false" customHeight="false" outlineLevel="0" collapsed="false">
      <c r="A23" s="42" t="s">
        <v>677</v>
      </c>
      <c r="B23" s="43" t="n">
        <f aca="false">$B$4*0.9</f>
        <v>9000</v>
      </c>
    </row>
    <row r="24" customFormat="false" ht="15" hidden="false" customHeight="false" outlineLevel="0" collapsed="false">
      <c r="A24" s="42" t="s">
        <v>678</v>
      </c>
      <c r="B24" s="54" t="n">
        <f aca="false">(B22-B23)/$B$4</f>
        <v>0.32</v>
      </c>
    </row>
    <row r="25" customFormat="false" ht="27.75" hidden="false" customHeight="true" outlineLevel="0" collapsed="false">
      <c r="A25" s="14" t="s">
        <v>679</v>
      </c>
      <c r="B25" s="14"/>
      <c r="C25" s="14"/>
      <c r="D25" s="14"/>
      <c r="E25" s="14"/>
      <c r="F25" s="14"/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4"/>
    </row>
  </sheetData>
  <mergeCells count="7">
    <mergeCell ref="A1:F1"/>
    <mergeCell ref="A2:F2"/>
    <mergeCell ref="A6:F6"/>
    <mergeCell ref="A13:F13"/>
    <mergeCell ref="A20:F20"/>
    <mergeCell ref="A21:F21"/>
    <mergeCell ref="A25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0"/>
  </cols>
  <sheetData>
    <row r="1" customFormat="false" ht="24" hidden="false" customHeight="true" outlineLevel="0" collapsed="false">
      <c r="A1" s="1" t="s">
        <v>44</v>
      </c>
      <c r="B1" s="1"/>
    </row>
    <row r="2" customFormat="false" ht="13.5" hidden="false" customHeight="true" outlineLevel="0" collapsed="false">
      <c r="A2" s="2" t="s">
        <v>680</v>
      </c>
      <c r="B2" s="2"/>
    </row>
    <row r="4" customFormat="false" ht="30" hidden="false" customHeight="true" outlineLevel="0" collapsed="false">
      <c r="A4" s="5" t="s">
        <v>7</v>
      </c>
      <c r="B4" s="5" t="s">
        <v>602</v>
      </c>
    </row>
    <row r="5" customFormat="false" ht="15" hidden="false" customHeight="false" outlineLevel="0" collapsed="false">
      <c r="A5" s="55" t="n">
        <v>1</v>
      </c>
      <c r="B5" s="6" t="s">
        <v>681</v>
      </c>
    </row>
    <row r="6" customFormat="false" ht="15" hidden="false" customHeight="false" outlineLevel="0" collapsed="false">
      <c r="A6" s="56" t="n">
        <v>2</v>
      </c>
      <c r="B6" s="9" t="s">
        <v>682</v>
      </c>
    </row>
    <row r="7" customFormat="false" ht="15" hidden="false" customHeight="false" outlineLevel="0" collapsed="false">
      <c r="A7" s="55" t="n">
        <v>3</v>
      </c>
      <c r="B7" s="6" t="s">
        <v>683</v>
      </c>
    </row>
    <row r="8" customFormat="false" ht="15" hidden="false" customHeight="false" outlineLevel="0" collapsed="false">
      <c r="A8" s="56" t="n">
        <v>4</v>
      </c>
      <c r="B8" s="9" t="s">
        <v>684</v>
      </c>
    </row>
    <row r="9" customFormat="false" ht="15" hidden="false" customHeight="false" outlineLevel="0" collapsed="false">
      <c r="A9" s="55" t="n">
        <v>16</v>
      </c>
      <c r="B9" s="6" t="s">
        <v>685</v>
      </c>
    </row>
    <row r="10" customFormat="false" ht="15" hidden="false" customHeight="false" outlineLevel="0" collapsed="false">
      <c r="A10" s="56" t="n">
        <v>17</v>
      </c>
      <c r="B10" s="9" t="s">
        <v>686</v>
      </c>
    </row>
    <row r="11" customFormat="false" ht="15" hidden="false" customHeight="false" outlineLevel="0" collapsed="false">
      <c r="A11" s="55" t="n">
        <v>18</v>
      </c>
      <c r="B11" s="6" t="s">
        <v>687</v>
      </c>
    </row>
    <row r="12" customFormat="false" ht="15" hidden="false" customHeight="false" outlineLevel="0" collapsed="false">
      <c r="A12" s="56" t="n">
        <v>19</v>
      </c>
      <c r="B12" s="9" t="s">
        <v>688</v>
      </c>
    </row>
    <row r="13" customFormat="false" ht="15" hidden="false" customHeight="false" outlineLevel="0" collapsed="false">
      <c r="A13" s="55" t="n">
        <v>23</v>
      </c>
      <c r="B13" s="6" t="s">
        <v>689</v>
      </c>
    </row>
    <row r="14" customFormat="false" ht="15" hidden="false" customHeight="false" outlineLevel="0" collapsed="false">
      <c r="A14" s="56" t="n">
        <v>24</v>
      </c>
      <c r="B14" s="9" t="s">
        <v>690</v>
      </c>
    </row>
    <row r="15" customFormat="false" ht="15" hidden="false" customHeight="false" outlineLevel="0" collapsed="false">
      <c r="A15" s="55" t="n">
        <v>25</v>
      </c>
      <c r="B15" s="6" t="s">
        <v>691</v>
      </c>
    </row>
    <row r="16" customFormat="false" ht="15" hidden="false" customHeight="false" outlineLevel="0" collapsed="false">
      <c r="A16" s="56" t="n">
        <v>30</v>
      </c>
      <c r="B16" s="9" t="s">
        <v>692</v>
      </c>
    </row>
    <row r="17" customFormat="false" ht="15" hidden="false" customHeight="false" outlineLevel="0" collapsed="false">
      <c r="A17" s="55" t="n">
        <v>33</v>
      </c>
      <c r="B17" s="6" t="s">
        <v>693</v>
      </c>
    </row>
    <row r="18" customFormat="false" ht="15" hidden="false" customHeight="false" outlineLevel="0" collapsed="false">
      <c r="A18" s="56" t="n">
        <v>34</v>
      </c>
      <c r="B18" s="9" t="s">
        <v>694</v>
      </c>
    </row>
    <row r="19" customFormat="false" ht="15" hidden="false" customHeight="false" outlineLevel="0" collapsed="false">
      <c r="A19" s="55" t="n">
        <v>36</v>
      </c>
      <c r="B19" s="6" t="s">
        <v>695</v>
      </c>
    </row>
    <row r="20" customFormat="false" ht="15" hidden="false" customHeight="false" outlineLevel="0" collapsed="false">
      <c r="A20" s="56" t="n">
        <v>37</v>
      </c>
      <c r="B20" s="9" t="s">
        <v>696</v>
      </c>
    </row>
    <row r="21" customFormat="false" ht="15" hidden="false" customHeight="false" outlineLevel="0" collapsed="false">
      <c r="A21" s="55" t="n">
        <v>40</v>
      </c>
      <c r="B21" s="6" t="s">
        <v>697</v>
      </c>
    </row>
    <row r="22" customFormat="false" ht="15" hidden="false" customHeight="false" outlineLevel="0" collapsed="false">
      <c r="A22" s="56" t="n">
        <v>42</v>
      </c>
      <c r="B22" s="9" t="s">
        <v>698</v>
      </c>
    </row>
    <row r="23" customFormat="false" ht="15" hidden="false" customHeight="false" outlineLevel="0" collapsed="false">
      <c r="A23" s="55" t="n">
        <v>43</v>
      </c>
      <c r="B23" s="6" t="s">
        <v>699</v>
      </c>
    </row>
    <row r="24" customFormat="false" ht="15" hidden="false" customHeight="false" outlineLevel="0" collapsed="false">
      <c r="A24" s="56" t="n">
        <v>44</v>
      </c>
      <c r="B24" s="9" t="s">
        <v>700</v>
      </c>
    </row>
    <row r="25" customFormat="false" ht="15" hidden="false" customHeight="false" outlineLevel="0" collapsed="false">
      <c r="A25" s="55" t="n">
        <v>49</v>
      </c>
      <c r="B25" s="6" t="s">
        <v>701</v>
      </c>
    </row>
    <row r="26" customFormat="false" ht="15" hidden="false" customHeight="false" outlineLevel="0" collapsed="false">
      <c r="A26" s="56" t="n">
        <v>51</v>
      </c>
      <c r="B26" s="9" t="s">
        <v>702</v>
      </c>
    </row>
    <row r="27" customFormat="false" ht="15" hidden="false" customHeight="false" outlineLevel="0" collapsed="false">
      <c r="A27" s="55" t="n">
        <v>53</v>
      </c>
      <c r="B27" s="6" t="s">
        <v>703</v>
      </c>
    </row>
    <row r="28" customFormat="false" ht="15" hidden="false" customHeight="false" outlineLevel="0" collapsed="false">
      <c r="A28" s="56" t="n">
        <v>54</v>
      </c>
      <c r="B28" s="9" t="s">
        <v>704</v>
      </c>
    </row>
    <row r="29" customFormat="false" ht="15" hidden="false" customHeight="false" outlineLevel="0" collapsed="false">
      <c r="A29" s="55" t="n">
        <v>55</v>
      </c>
      <c r="B29" s="6" t="s">
        <v>705</v>
      </c>
    </row>
    <row r="30" customFormat="false" ht="15" hidden="false" customHeight="false" outlineLevel="0" collapsed="false">
      <c r="A30" s="56" t="n">
        <v>60</v>
      </c>
      <c r="B30" s="9" t="s">
        <v>706</v>
      </c>
    </row>
    <row r="31" customFormat="false" ht="15" hidden="false" customHeight="false" outlineLevel="0" collapsed="false">
      <c r="A31" s="55" t="n">
        <v>61</v>
      </c>
      <c r="B31" s="6" t="s">
        <v>707</v>
      </c>
    </row>
    <row r="32" customFormat="false" ht="15" hidden="false" customHeight="false" outlineLevel="0" collapsed="false">
      <c r="A32" s="56" t="n">
        <v>62</v>
      </c>
      <c r="B32" s="9" t="s">
        <v>708</v>
      </c>
    </row>
    <row r="33" customFormat="false" ht="15" hidden="false" customHeight="false" outlineLevel="0" collapsed="false">
      <c r="A33" s="55" t="n">
        <v>64</v>
      </c>
      <c r="B33" s="6" t="s">
        <v>709</v>
      </c>
    </row>
    <row r="34" customFormat="false" ht="15" hidden="false" customHeight="false" outlineLevel="0" collapsed="false">
      <c r="A34" s="56" t="n">
        <v>67</v>
      </c>
      <c r="B34" s="9" t="s">
        <v>710</v>
      </c>
    </row>
    <row r="35" customFormat="false" ht="15" hidden="false" customHeight="false" outlineLevel="0" collapsed="false">
      <c r="A35" s="55" t="n">
        <v>69</v>
      </c>
      <c r="B35" s="6" t="s">
        <v>711</v>
      </c>
    </row>
    <row r="36" customFormat="false" ht="15" hidden="false" customHeight="false" outlineLevel="0" collapsed="false">
      <c r="A36" s="56" t="n">
        <v>70</v>
      </c>
      <c r="B36" s="9" t="s">
        <v>712</v>
      </c>
    </row>
    <row r="37" customFormat="false" ht="15" hidden="false" customHeight="false" outlineLevel="0" collapsed="false">
      <c r="A37" s="55" t="n">
        <v>71</v>
      </c>
      <c r="B37" s="6" t="s">
        <v>713</v>
      </c>
    </row>
    <row r="38" customFormat="false" ht="15" hidden="false" customHeight="false" outlineLevel="0" collapsed="false">
      <c r="A38" s="56" t="n">
        <v>72</v>
      </c>
      <c r="B38" s="9" t="s">
        <v>714</v>
      </c>
    </row>
    <row r="39" customFormat="false" ht="15" hidden="false" customHeight="false" outlineLevel="0" collapsed="false">
      <c r="A39" s="55" t="n">
        <v>73</v>
      </c>
      <c r="B39" s="6" t="s">
        <v>715</v>
      </c>
    </row>
    <row r="40" customFormat="false" ht="15" hidden="false" customHeight="false" outlineLevel="0" collapsed="false">
      <c r="A40" s="56" t="n">
        <v>75</v>
      </c>
      <c r="B40" s="9" t="s">
        <v>716</v>
      </c>
    </row>
    <row r="41" customFormat="false" ht="15" hidden="false" customHeight="false" outlineLevel="0" collapsed="false">
      <c r="A41" s="55" t="n">
        <v>77</v>
      </c>
      <c r="B41" s="6" t="s">
        <v>717</v>
      </c>
    </row>
    <row r="42" customFormat="false" ht="15" hidden="false" customHeight="false" outlineLevel="0" collapsed="false">
      <c r="A42" s="56" t="n">
        <v>79</v>
      </c>
      <c r="B42" s="9" t="s">
        <v>718</v>
      </c>
    </row>
    <row r="43" customFormat="false" ht="15" hidden="false" customHeight="false" outlineLevel="0" collapsed="false">
      <c r="A43" s="55" t="n">
        <v>80</v>
      </c>
      <c r="B43" s="6" t="s">
        <v>719</v>
      </c>
    </row>
    <row r="44" customFormat="false" ht="15" hidden="false" customHeight="false" outlineLevel="0" collapsed="false">
      <c r="A44" s="56" t="n">
        <v>81</v>
      </c>
      <c r="B44" s="9" t="s">
        <v>720</v>
      </c>
    </row>
    <row r="45" customFormat="false" ht="15" hidden="false" customHeight="false" outlineLevel="0" collapsed="false">
      <c r="A45" s="55" t="n">
        <v>82</v>
      </c>
      <c r="B45" s="6" t="s">
        <v>721</v>
      </c>
    </row>
    <row r="46" customFormat="false" ht="15" hidden="false" customHeight="false" outlineLevel="0" collapsed="false">
      <c r="A46" s="56" t="n">
        <v>84</v>
      </c>
      <c r="B46" s="9" t="s">
        <v>722</v>
      </c>
    </row>
    <row r="47" customFormat="false" ht="15" hidden="false" customHeight="false" outlineLevel="0" collapsed="false">
      <c r="A47" s="55" t="n">
        <v>85</v>
      </c>
      <c r="B47" s="6" t="s">
        <v>723</v>
      </c>
    </row>
    <row r="48" customFormat="false" ht="15" hidden="false" customHeight="false" outlineLevel="0" collapsed="false">
      <c r="A48" s="56" t="n">
        <v>88</v>
      </c>
      <c r="B48" s="9" t="s">
        <v>724</v>
      </c>
    </row>
    <row r="49" customFormat="false" ht="15" hidden="false" customHeight="false" outlineLevel="0" collapsed="false">
      <c r="A49" s="55" t="n">
        <v>89</v>
      </c>
      <c r="B49" s="6" t="s">
        <v>725</v>
      </c>
    </row>
    <row r="50" customFormat="false" ht="15" hidden="false" customHeight="false" outlineLevel="0" collapsed="false">
      <c r="A50" s="56" t="n">
        <v>93</v>
      </c>
      <c r="B50" s="9" t="s">
        <v>726</v>
      </c>
    </row>
    <row r="51" customFormat="false" ht="15" hidden="false" customHeight="false" outlineLevel="0" collapsed="false">
      <c r="A51" s="55" t="n">
        <v>94</v>
      </c>
      <c r="B51" s="6" t="s">
        <v>727</v>
      </c>
    </row>
    <row r="52" customFormat="false" ht="15" hidden="false" customHeight="false" outlineLevel="0" collapsed="false">
      <c r="A52" s="56" t="n">
        <v>96</v>
      </c>
      <c r="B52" s="9" t="s">
        <v>728</v>
      </c>
    </row>
    <row r="53" customFormat="false" ht="15" hidden="false" customHeight="false" outlineLevel="0" collapsed="false">
      <c r="A53" s="55" t="n">
        <v>97</v>
      </c>
      <c r="B53" s="6" t="s">
        <v>729</v>
      </c>
    </row>
    <row r="54" customFormat="false" ht="15" hidden="false" customHeight="false" outlineLevel="0" collapsed="false">
      <c r="A54" s="56" t="n">
        <v>100</v>
      </c>
      <c r="B54" s="9" t="s">
        <v>730</v>
      </c>
    </row>
    <row r="55" customFormat="false" ht="15" hidden="false" customHeight="false" outlineLevel="0" collapsed="false">
      <c r="A55" s="55" t="n">
        <v>101</v>
      </c>
      <c r="B55" s="6" t="s">
        <v>731</v>
      </c>
    </row>
    <row r="56" customFormat="false" ht="15" hidden="false" customHeight="false" outlineLevel="0" collapsed="false">
      <c r="A56" s="56" t="n">
        <v>102</v>
      </c>
      <c r="B56" s="9" t="s">
        <v>732</v>
      </c>
    </row>
    <row r="57" customFormat="false" ht="15" hidden="false" customHeight="false" outlineLevel="0" collapsed="false">
      <c r="A57" s="55" t="n">
        <v>103</v>
      </c>
      <c r="B57" s="6" t="s">
        <v>733</v>
      </c>
    </row>
    <row r="58" customFormat="false" ht="15" hidden="false" customHeight="false" outlineLevel="0" collapsed="false">
      <c r="A58" s="56" t="n">
        <v>104</v>
      </c>
      <c r="B58" s="9" t="s">
        <v>734</v>
      </c>
    </row>
    <row r="59" customFormat="false" ht="15" hidden="false" customHeight="false" outlineLevel="0" collapsed="false">
      <c r="A59" s="55" t="n">
        <v>106</v>
      </c>
      <c r="B59" s="6" t="s">
        <v>735</v>
      </c>
    </row>
    <row r="60" customFormat="false" ht="15" hidden="false" customHeight="false" outlineLevel="0" collapsed="false">
      <c r="A60" s="56" t="n">
        <v>110</v>
      </c>
      <c r="B60" s="9" t="s">
        <v>736</v>
      </c>
    </row>
    <row r="61" customFormat="false" ht="15" hidden="false" customHeight="true" outlineLevel="0" collapsed="false">
      <c r="A61" s="14" t="s">
        <v>737</v>
      </c>
      <c r="B61" s="14"/>
    </row>
  </sheetData>
  <mergeCells count="3">
    <mergeCell ref="A1:B1"/>
    <mergeCell ref="A2:B2"/>
    <mergeCell ref="A61:B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2026-06-21T19:27:43Z</dcterms:created>
  <dc:creator>openpyxl</dc:creator>
  <dc:description/>
  <dc:language>en-US</dc:language>
  <cp:lastModifiedBy/>
  <dcterms:modified xsi:type="dcterms:W3CDTF">2026-06-21T19:27:43Z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